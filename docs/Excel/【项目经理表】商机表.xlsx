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<sst xmlns="http://schemas.openxmlformats.org/spreadsheetml/2006/main" count="96" uniqueCount="96">
  <si>
    <t/>
  </si>
  <si>
    <t>基础信息</t>
  </si>
  <si>
    <t>商机情况</t>
  </si>
  <si>
    <t>铺排情况</t>
  </si>
  <si>
    <t>市场下一步工作</t>
  </si>
  <si>
    <t>序号</t>
  </si>
  <si>
    <t>区县</t>
  </si>
  <si>
    <t>销售</t>
  </si>
  <si>
    <t>与市场的预算匹配</t>
  </si>
  <si>
    <t>下一步工作</t>
  </si>
  <si>
    <t>商机总额</t>
  </si>
  <si>
    <t>费用差额</t>
  </si>
  <si>
    <t>铺排测算商机总额</t>
  </si>
  <si>
    <t>新就业群体</t>
  </si>
  <si>
    <t>人民建议征集</t>
  </si>
  <si>
    <t>热点信息</t>
  </si>
  <si>
    <t>一张图</t>
  </si>
  <si>
    <t>两个覆盖</t>
  </si>
  <si>
    <t>行业协会商会</t>
  </si>
  <si>
    <t>预算情况</t>
  </si>
  <si>
    <t>备注</t>
  </si>
  <si>
    <t>成华区</t>
  </si>
  <si>
    <t>暂缺</t>
  </si>
  <si>
    <t>无偏差</t>
  </si>
  <si>
    <t>正常推进</t>
  </si>
  <si>
    <t>待铺排</t>
  </si>
  <si>
    <t>无意向</t>
  </si>
  <si>
    <t>有意向</t>
  </si>
  <si>
    <t>三科有20-25万预算</t>
  </si>
  <si>
    <t>三科分管觉得一张图不错，让我们下周约新就业分管再聊，再选；</t>
  </si>
  <si>
    <t>想立项，必须要文件支撑</t>
  </si>
  <si>
    <t>崇州市</t>
  </si>
  <si>
    <t>熊大</t>
  </si>
  <si>
    <t>填预算</t>
  </si>
  <si>
    <t>区县门户+激励资金40万</t>
  </si>
  <si>
    <t>待孵化：志愿服务探索</t>
  </si>
  <si>
    <t>预算装满，志愿服务场景优先</t>
  </si>
  <si>
    <t>大邑县</t>
  </si>
  <si>
    <t>意向待定</t>
  </si>
  <si>
    <t>人民建议征集深化——特邀建议人元宇宙培育+AI转换+宣传</t>
  </si>
  <si>
    <t>主要人民建议征集定制部分</t>
  </si>
  <si>
    <t>都江堰市</t>
  </si>
  <si>
    <t>暂无</t>
  </si>
  <si>
    <t>热点信息+人民建议征集结合</t>
  </si>
  <si>
    <t>高新区</t>
  </si>
  <si>
    <t>简阳市</t>
  </si>
  <si>
    <t>区县门户</t>
  </si>
  <si>
    <t>想重点先做积分</t>
  </si>
  <si>
    <t>积分先做，争取产品转化</t>
  </si>
  <si>
    <t>金牛区</t>
  </si>
  <si>
    <t>激励资金40万</t>
  </si>
  <si>
    <t>要等部务会讨论或者市上板块上线之后再决定做什么</t>
  </si>
  <si>
    <t>揭榜挂帅跟进</t>
  </si>
  <si>
    <t>金堂县</t>
  </si>
  <si>
    <t>锦江区</t>
  </si>
  <si>
    <t>姚大超</t>
  </si>
  <si>
    <t>城运中心锦彩生活25万+社工部线下服务点位揭榜挂帅项目45万（移动总集）</t>
  </si>
  <si>
    <t>龙泉驿区</t>
  </si>
  <si>
    <t>暂未申请到预算，需要文件支撑申请预算</t>
  </si>
  <si>
    <t>彭州市</t>
  </si>
  <si>
    <t>基层减负部分有意向和预算</t>
  </si>
  <si>
    <t>郫都区</t>
  </si>
  <si>
    <t>区县门户+新就业30+商协会15</t>
  </si>
  <si>
    <t>两个覆盖有意向，但是担心市级不支持。商协会业务方向偏党建，新就业建议研究下货车司机</t>
  </si>
  <si>
    <t>货车司机新场景推进，商协会试点，运作省级支持</t>
  </si>
  <si>
    <t>蒲江县</t>
  </si>
  <si>
    <t>明年89万预算</t>
  </si>
  <si>
    <t>确认以前的工作量能不能算回来，其他场景</t>
  </si>
  <si>
    <t>青白江区</t>
  </si>
  <si>
    <t>有偏差</t>
  </si>
  <si>
    <t>确定预算</t>
  </si>
  <si>
    <t>有4万块，想先做新就业，明年的预算暂时没有了</t>
  </si>
  <si>
    <t>建议思考下新就业中货车司机的业务，青白江有1万多货车司机</t>
  </si>
  <si>
    <t>青羊区</t>
  </si>
  <si>
    <t>邛崃市</t>
  </si>
  <si>
    <t>门户+激励资金</t>
  </si>
  <si>
    <t>基层政权场景需求</t>
  </si>
  <si>
    <t>双流区</t>
  </si>
  <si>
    <t>天府新区</t>
  </si>
  <si>
    <t>新就业30万+区县门户</t>
  </si>
  <si>
    <t>两个覆盖和行业协会商会待二次沟通</t>
  </si>
  <si>
    <t>销售二次跟进</t>
  </si>
  <si>
    <t>温江区</t>
  </si>
  <si>
    <t>暂无明确预算</t>
  </si>
  <si>
    <t>等待文件支撑，先推进项目</t>
  </si>
  <si>
    <t>武侯区</t>
  </si>
  <si>
    <t>新都区</t>
  </si>
  <si>
    <t>30万预算</t>
  </si>
  <si>
    <t>新津区</t>
  </si>
  <si>
    <t>一张图揭榜挂帅场景</t>
  </si>
  <si>
    <t>等着装东西</t>
  </si>
  <si>
    <t>东部新区</t>
  </si>
  <si>
    <t>25年激励资金30w+已评审项目50w</t>
  </si>
  <si>
    <t>线下综合点位</t>
  </si>
  <si>
    <t>商机额度</t>
  </si>
  <si>
    <t>比例</t>
  </si>
</sst>
</file>

<file path=xl/styles.xml><?xml version="1.0" encoding="utf-8"?>
<styleSheet xmlns="http://schemas.openxmlformats.org/spreadsheetml/2006/main">
  <fonts count="8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sz val="11"/>
    </font>
    <font>
      <sz val="9"/>
    </font>
    <font>
      <name val="Calibri"/>
      <sz val="9"/>
    </font>
    <font>
      <name val="宋体"/>
    </font>
    <font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FFFF00"/>
        <bgColor auto="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>
    <xf fontId="7" fillId="0" borderId="0" xfId="0" applyNumberFormat="1" applyFont="1" applyFill="1" applyBorder="1" applyAlignment="1">
      <alignment vertical="center"/>
    </xf>
  </cellStyleXfs>
  <cellXfs count="3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center" textRotation="0" indent="0" justifyLastLine="0" shrinkToFit="0"/>
    </xf>
    <xf fontId="0" fillId="0" borderId="1" xfId="0">
      <alignment vertical="center"/>
    </xf>
    <xf fontId="0" fillId="0" borderId="1" xfId="0">
      <alignment horizontal="center" vertical="center" textRotation="0" indent="0" justifyLastLine="0" shrinkToFit="0"/>
    </xf>
    <xf fontId="0" fillId="0" borderId="1" xfId="0">
      <alignment vertical="center" textRotation="0" wrapText="1" indent="0" justifyLastLine="0" shrinkToFit="0"/>
    </xf>
    <xf fontId="3" fillId="0" borderId="1" xfId="0">
      <alignment horizontal="center" vertical="center" textRotation="0" wrapText="1" indent="0" justifyLastLine="0" shrinkToFit="0"/>
    </xf>
    <xf fontId="0" fillId="0" borderId="1" xfId="0">
      <alignment horizontal="center" vertical="center" textRotation="0" wrapText="1" indent="0" justifyLastLine="0" shrinkToFit="0"/>
    </xf>
    <xf fontId="4" fillId="0" borderId="1" xfId="0">
      <alignment horizontal="center" vertical="center" textRotation="0" indent="0" justifyLastLine="0" shrinkToFit="0"/>
    </xf>
    <xf fontId="5" fillId="0" borderId="1" xfId="0">
      <alignment horizontal="center" vertical="center" textRotation="0" indent="0" justifyLastLine="0" shrinkToFit="0"/>
    </xf>
    <xf fontId="0" fillId="0" borderId="1" xfId="0">
      <alignment horizontal="center" vertical="center"/>
    </xf>
    <xf fontId="4" fillId="2" borderId="1" xfId="0">
      <alignment horizontal="center" vertical="center" textRotation="0" indent="0" justifyLastLine="0" shrinkToFit="0"/>
    </xf>
    <xf fontId="0" fillId="0" borderId="1" xfId="0">
      <alignment horizontal="center" vertical="center" textRotation="0"/>
    </xf>
    <xf fontId="3" fillId="0" borderId="2" xfId="0">
      <alignment horizontal="center" vertical="center" textRotation="0" indent="0" justifyLastLine="0" shrinkToFit="0"/>
    </xf>
    <xf fontId="4" fillId="0" borderId="2" xfId="0">
      <alignment horizontal="center" vertical="center" textRotation="0" indent="0" justifyLastLine="0" shrinkToFit="0"/>
    </xf>
    <xf fontId="5" fillId="0" borderId="2" xfId="0">
      <alignment horizontal="center" vertical="center" textRotation="0" indent="0" justifyLastLine="0" shrinkToFit="0"/>
    </xf>
    <xf fontId="0" fillId="0" borderId="2" xfId="0">
      <alignment horizontal="center" vertical="center" textRotation="0" indent="0" justifyLastLine="0" shrinkToFit="0"/>
    </xf>
    <xf fontId="0" fillId="0" borderId="2" xfId="0">
      <alignment vertical="center" textRotation="0" wrapText="1" indent="0" justifyLastLine="0" shrinkToFit="0"/>
    </xf>
    <xf fontId="0" fillId="0" borderId="2" xfId="0">
      <alignment vertical="center" textRotation="0" wrapText="1"/>
    </xf>
    <xf fontId="4" fillId="0" borderId="1" xfId="0">
      <alignment horizontal="center" vertical="center" textRotation="0"/>
    </xf>
    <xf fontId="0" fillId="0" borderId="1" xfId="0">
      <alignment vertical="center" textRotation="0" wrapText="1"/>
    </xf>
    <xf fontId="6" fillId="0" borderId="0" xfId="0">
      <alignment horizontal="center" vertical="center"/>
    </xf>
    <xf fontId="6" fillId="0" borderId="0" xfId="0">
      <alignment horizontal="center" vertical="center" textRotation="0"/>
    </xf>
    <xf fontId="0" fillId="0" borderId="0" xfId="0">
      <alignment vertical="center"/>
    </xf>
    <xf fontId="6" fillId="0" borderId="0" xfId="0">
      <alignment horizontal="center" vertical="center" textRotation="0" indent="0" justifyLastLine="0" shrinkToFit="0"/>
    </xf>
    <xf fontId="7" fillId="0" borderId="0" xfId="0">
      <alignment vertical="center"/>
    </xf>
    <xf numFmtId="68" fontId="0" fillId="0" borderId="1" xfId="0">
      <alignment horizontal="center" vertical="center" textRotation="0" indent="0" justifyLastLine="0" shrinkToFit="0"/>
    </xf>
    <xf fontId="0" fillId="0" borderId="0" xfId="0">
      <alignment horizontal="center" vertical="center" textRotation="0" indent="0" justifyLastLine="0" shrinkToFit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Q33"/>
  <sheetViews>
    <sheetView showGridLines="1" rightToLeft="0" workbookViewId="0"/>
  </sheetViews>
  <sheetFormatPr baseColWidth="13" defaultRowHeight="18" customHeight="1"/>
  <cols>
    <col min="1" max="1" width="4.71094" customWidth="1"/>
    <col min="2" max="2" width="9.71094" customWidth="1"/>
    <col min="3" max="3" width="10.7109" customWidth="1"/>
    <col min="4" max="4" width="11.7109" customWidth="1"/>
    <col min="5" max="5" width="10.7109" customWidth="1"/>
    <col min="6" max="7" width="8.71094" customWidth="1"/>
    <col min="8" max="8" width="15.7109" customWidth="1"/>
    <col min="9" max="9" width="10.7109" customWidth="1"/>
    <col min="10" max="10" width="12.7109" customWidth="1"/>
    <col min="11" max="13" width="10.7109" customWidth="1"/>
    <col min="14" max="14" width="12.7109" customWidth="1"/>
    <col min="15" max="15" width="22.7109" customWidth="1"/>
    <col min="16" max="16" width="22.7109" customWidth="1"/>
    <col min="17" max="17" width="28.7109" customWidth="1"/>
  </cols>
  <sheetData>
    <row r="1" spans="1:17">
      <c r="A1" s="4" t="s">
        <v>1</v>
      </c>
      <c r="B1" s="5" t="s"/>
      <c r="C1" s="5" t="s"/>
      <c r="D1" s="6" t="s">
        <v>2</v>
      </c>
      <c r="E1" s="5" t="s"/>
      <c r="F1" s="5" t="s"/>
      <c r="G1" s="6" t="s">
        <v>3</v>
      </c>
      <c r="H1" s="5" t="s"/>
      <c r="I1" s="5" t="s"/>
      <c r="J1" s="5" t="s"/>
      <c r="K1" s="5" t="s"/>
      <c r="L1" s="5" t="s"/>
      <c r="M1" s="5" t="s"/>
      <c r="N1" s="5" t="s"/>
      <c r="O1" s="5" t="s"/>
      <c r="P1" s="5" t="s"/>
      <c r="Q1" s="7" t="s">
        <v>4</v>
      </c>
    </row>
    <row r="2" spans="1:17" ht="33.75" customHeight="1">
      <c r="A2" s="4" t="s">
        <v>5</v>
      </c>
      <c r="B2" s="4" t="s">
        <v>6</v>
      </c>
      <c r="C2" s="8" t="s">
        <v>7</v>
      </c>
      <c r="D2" s="8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  <c r="O2" s="9" t="s">
        <v>19</v>
      </c>
      <c r="P2" s="9" t="s">
        <v>20</v>
      </c>
      <c r="Q2" s="5" t="s"/>
    </row>
    <row r="3" spans="1:17">
      <c r="A3" s="4">
        <v>1</v>
      </c>
      <c r="B3" s="4" t="s">
        <v>21</v>
      </c>
      <c r="C3" s="10" t="s">
        <v>22</v>
      </c>
      <c r="D3" s="11" t="s">
        <v>23</v>
      </c>
      <c r="E3" s="10" t="s">
        <v>24</v>
      </c>
      <c r="F3" s="12" t="s"/>
      <c r="G3" s="12" t="s"/>
      <c r="H3" s="12">
        <v>0</v>
      </c>
      <c r="I3" s="10" t="s">
        <v>25</v>
      </c>
      <c r="J3" s="10" t="s">
        <v>26</v>
      </c>
      <c r="K3" s="10" t="s">
        <v>26</v>
      </c>
      <c r="L3" s="13" t="s">
        <v>27</v>
      </c>
      <c r="M3" s="10" t="s">
        <v>25</v>
      </c>
      <c r="N3" s="10" t="s">
        <v>25</v>
      </c>
      <c r="O3" s="7" t="s">
        <v>28</v>
      </c>
      <c r="P3" s="7" t="s">
        <v>29</v>
      </c>
      <c r="Q3" s="7" t="s">
        <v>30</v>
      </c>
    </row>
    <row r="4" spans="1:17">
      <c r="A4" s="4">
        <v>2</v>
      </c>
      <c r="B4" s="4" t="s">
        <v>31</v>
      </c>
      <c r="C4" s="10" t="s">
        <v>32</v>
      </c>
      <c r="D4" s="11" t="s">
        <v>23</v>
      </c>
      <c r="E4" s="10" t="s">
        <v>33</v>
      </c>
      <c r="F4" s="6">
        <v>100</v>
      </c>
      <c r="G4" s="6">
        <v>30</v>
      </c>
      <c r="H4" s="6">
        <v>100</v>
      </c>
      <c r="I4" s="13" t="s">
        <v>27</v>
      </c>
      <c r="J4" s="10" t="s">
        <v>26</v>
      </c>
      <c r="K4" s="13" t="s">
        <v>27</v>
      </c>
      <c r="L4" s="13" t="s">
        <v>27</v>
      </c>
      <c r="M4" s="10" t="s">
        <v>26</v>
      </c>
      <c r="N4" s="10" t="s">
        <v>26</v>
      </c>
      <c r="O4" s="7" t="s">
        <v>34</v>
      </c>
      <c r="P4" s="7" t="s">
        <v>35</v>
      </c>
      <c r="Q4" s="7" t="s">
        <v>36</v>
      </c>
    </row>
    <row r="5" spans="1:17">
      <c r="A5" s="4">
        <v>3</v>
      </c>
      <c r="B5" s="4" t="s">
        <v>37</v>
      </c>
      <c r="C5" s="10" t="s">
        <v>32</v>
      </c>
      <c r="D5" s="11" t="s">
        <v>23</v>
      </c>
      <c r="E5" s="10" t="s">
        <v>33</v>
      </c>
      <c r="F5" s="6">
        <v>105</v>
      </c>
      <c r="G5" s="6">
        <v>30</v>
      </c>
      <c r="H5" s="6">
        <v>105</v>
      </c>
      <c r="I5" s="10" t="s">
        <v>38</v>
      </c>
      <c r="J5" s="13" t="s">
        <v>27</v>
      </c>
      <c r="K5" s="13" t="s">
        <v>27</v>
      </c>
      <c r="L5" s="13" t="s">
        <v>27</v>
      </c>
      <c r="M5" s="10" t="s">
        <v>26</v>
      </c>
      <c r="N5" s="10" t="s">
        <v>38</v>
      </c>
      <c r="O5" s="7" t="s">
        <v>34</v>
      </c>
      <c r="P5" s="7" t="s">
        <v>39</v>
      </c>
      <c r="Q5" s="7" t="s">
        <v>40</v>
      </c>
    </row>
    <row r="6" spans="1:17">
      <c r="A6" s="4">
        <v>4</v>
      </c>
      <c r="B6" s="4" t="s">
        <v>41</v>
      </c>
      <c r="C6" s="10" t="s">
        <v>32</v>
      </c>
      <c r="D6" s="11" t="s">
        <v>23</v>
      </c>
      <c r="E6" s="10" t="s">
        <v>33</v>
      </c>
      <c r="F6" s="6">
        <v>30</v>
      </c>
      <c r="G6" s="6">
        <v>30</v>
      </c>
      <c r="H6" s="6">
        <v>30</v>
      </c>
      <c r="I6" s="10" t="s">
        <v>26</v>
      </c>
      <c r="J6" s="10" t="s">
        <v>27</v>
      </c>
      <c r="K6" s="10" t="s">
        <v>27</v>
      </c>
      <c r="L6" s="10" t="s">
        <v>26</v>
      </c>
      <c r="M6" s="10" t="s">
        <v>26</v>
      </c>
      <c r="N6" s="10" t="s">
        <v>26</v>
      </c>
      <c r="O6" s="7" t="s">
        <v>42</v>
      </c>
      <c r="P6" s="7" t="s">
        <v>43</v>
      </c>
      <c r="Q6" s="7" t="s"/>
    </row>
    <row r="7" spans="1:17">
      <c r="A7" s="4">
        <v>5</v>
      </c>
      <c r="B7" s="4" t="s">
        <v>44</v>
      </c>
      <c r="C7" s="10" t="s">
        <v>22</v>
      </c>
      <c r="D7" s="11" t="s">
        <v>23</v>
      </c>
      <c r="E7" s="10" t="s">
        <v>24</v>
      </c>
      <c r="F7" s="6" t="s"/>
      <c r="G7" s="6" t="s"/>
      <c r="H7" s="6" t="s"/>
      <c r="I7" s="10" t="s"/>
      <c r="J7" s="10" t="s"/>
      <c r="K7" s="10" t="s"/>
      <c r="L7" s="10" t="s"/>
      <c r="M7" s="10" t="s"/>
      <c r="N7" s="10" t="s"/>
      <c r="O7" s="7" t="s"/>
      <c r="P7" s="7" t="s"/>
      <c r="Q7" s="7" t="s"/>
    </row>
    <row r="8" spans="1:17">
      <c r="A8" s="4">
        <v>6</v>
      </c>
      <c r="B8" s="4" t="s">
        <v>45</v>
      </c>
      <c r="C8" s="10" t="s">
        <v>32</v>
      </c>
      <c r="D8" s="11" t="s">
        <v>23</v>
      </c>
      <c r="E8" s="10" t="s">
        <v>24</v>
      </c>
      <c r="F8" s="6" t="s"/>
      <c r="G8" s="6" t="s"/>
      <c r="H8" s="6" t="s"/>
      <c r="I8" s="10" t="s">
        <v>38</v>
      </c>
      <c r="J8" s="10" t="s">
        <v>27</v>
      </c>
      <c r="K8" s="10" t="s">
        <v>27</v>
      </c>
      <c r="L8" s="10" t="s">
        <v>38</v>
      </c>
      <c r="M8" s="10" t="s">
        <v>38</v>
      </c>
      <c r="N8" s="10" t="s">
        <v>38</v>
      </c>
      <c r="O8" s="7" t="s">
        <v>46</v>
      </c>
      <c r="P8" s="7" t="s">
        <v>47</v>
      </c>
      <c r="Q8" s="7" t="s">
        <v>48</v>
      </c>
    </row>
    <row r="9" spans="1:17">
      <c r="A9" s="4">
        <v>7</v>
      </c>
      <c r="B9" s="4" t="s">
        <v>49</v>
      </c>
      <c r="C9" s="10" t="s">
        <v>32</v>
      </c>
      <c r="D9" s="11" t="s">
        <v>23</v>
      </c>
      <c r="E9" s="10" t="s">
        <v>24</v>
      </c>
      <c r="F9" s="6">
        <v>40</v>
      </c>
      <c r="G9" s="6" t="s"/>
      <c r="H9" s="6">
        <v>40</v>
      </c>
      <c r="I9" s="10" t="s">
        <v>38</v>
      </c>
      <c r="J9" s="10" t="s">
        <v>38</v>
      </c>
      <c r="K9" s="10" t="s">
        <v>38</v>
      </c>
      <c r="L9" s="10" t="s">
        <v>38</v>
      </c>
      <c r="M9" s="10" t="s">
        <v>38</v>
      </c>
      <c r="N9" s="10" t="s">
        <v>38</v>
      </c>
      <c r="O9" s="7" t="s">
        <v>50</v>
      </c>
      <c r="P9" s="7" t="s">
        <v>51</v>
      </c>
      <c r="Q9" s="7" t="s">
        <v>52</v>
      </c>
    </row>
    <row r="10" spans="1:17">
      <c r="A10" s="4">
        <v>8</v>
      </c>
      <c r="B10" s="4" t="s">
        <v>53</v>
      </c>
      <c r="C10" s="10" t="s">
        <v>22</v>
      </c>
      <c r="D10" s="11" t="s">
        <v>23</v>
      </c>
      <c r="E10" s="10" t="s">
        <v>24</v>
      </c>
      <c r="F10" s="6" t="s"/>
      <c r="G10" s="6" t="s"/>
      <c r="H10" s="6" t="s"/>
      <c r="I10" s="10" t="s"/>
      <c r="J10" s="10" t="s"/>
      <c r="K10" s="10" t="s"/>
      <c r="L10" s="10" t="s"/>
      <c r="M10" s="10" t="s"/>
      <c r="N10" s="10" t="s"/>
      <c r="O10" s="7" t="s"/>
      <c r="P10" s="7" t="s"/>
      <c r="Q10" s="7" t="s"/>
    </row>
    <row r="11" spans="1:17">
      <c r="A11" s="4">
        <v>9</v>
      </c>
      <c r="B11" s="4" t="s">
        <v>54</v>
      </c>
      <c r="C11" s="10" t="s">
        <v>55</v>
      </c>
      <c r="D11" s="11" t="s">
        <v>23</v>
      </c>
      <c r="E11" s="10" t="s">
        <v>24</v>
      </c>
      <c r="F11" s="6">
        <v>70</v>
      </c>
      <c r="G11" s="6" t="s"/>
      <c r="H11" s="6">
        <v>70</v>
      </c>
      <c r="I11" s="10" t="s"/>
      <c r="J11" s="10" t="s"/>
      <c r="K11" s="10" t="s"/>
      <c r="L11" s="10" t="s"/>
      <c r="M11" s="10" t="s"/>
      <c r="N11" s="10" t="s"/>
      <c r="O11" s="7" t="s"/>
      <c r="P11" s="7" t="s">
        <v>56</v>
      </c>
      <c r="Q11" s="7" t="s">
        <v>52</v>
      </c>
    </row>
    <row r="12" spans="1:17">
      <c r="A12" s="4">
        <v>10</v>
      </c>
      <c r="B12" s="4" t="s">
        <v>57</v>
      </c>
      <c r="C12" s="10" t="s">
        <v>22</v>
      </c>
      <c r="D12" s="11" t="s">
        <v>23</v>
      </c>
      <c r="E12" s="10" t="s">
        <v>24</v>
      </c>
      <c r="F12" s="6" t="s"/>
      <c r="G12" s="6" t="s"/>
      <c r="H12" s="6" t="s"/>
      <c r="I12" s="10" t="s">
        <v>25</v>
      </c>
      <c r="J12" s="10" t="s">
        <v>27</v>
      </c>
      <c r="K12" s="10" t="s">
        <v>26</v>
      </c>
      <c r="L12" s="10" t="s">
        <v>26</v>
      </c>
      <c r="M12" s="10" t="s">
        <v>25</v>
      </c>
      <c r="N12" s="10" t="s">
        <v>25</v>
      </c>
      <c r="O12" s="7" t="s">
        <v>58</v>
      </c>
      <c r="P12" s="7" t="s"/>
      <c r="Q12" s="7" t="s"/>
    </row>
    <row r="13" spans="1:17">
      <c r="A13" s="4">
        <v>11</v>
      </c>
      <c r="B13" s="4" t="s">
        <v>59</v>
      </c>
      <c r="C13" s="10" t="s">
        <v>55</v>
      </c>
      <c r="D13" s="11" t="s">
        <v>23</v>
      </c>
      <c r="E13" s="10" t="s">
        <v>24</v>
      </c>
      <c r="F13" s="6">
        <v>70</v>
      </c>
      <c r="G13" s="6" t="s"/>
      <c r="H13" s="6">
        <v>70</v>
      </c>
      <c r="I13" s="10" t="s">
        <v>26</v>
      </c>
      <c r="J13" s="10" t="s">
        <v>26</v>
      </c>
      <c r="K13" s="10" t="s">
        <v>26</v>
      </c>
      <c r="L13" s="10" t="s">
        <v>26</v>
      </c>
      <c r="M13" s="10" t="s">
        <v>26</v>
      </c>
      <c r="N13" s="10" t="s">
        <v>26</v>
      </c>
      <c r="O13" s="7" t="s">
        <v>60</v>
      </c>
      <c r="P13" s="7" t="s"/>
      <c r="Q13" s="7" t="s"/>
    </row>
    <row r="14" spans="1:17">
      <c r="A14" s="4">
        <v>12</v>
      </c>
      <c r="B14" s="4" t="s">
        <v>61</v>
      </c>
      <c r="C14" s="10" t="s">
        <v>55</v>
      </c>
      <c r="D14" s="11" t="s">
        <v>23</v>
      </c>
      <c r="E14" s="10" t="s">
        <v>33</v>
      </c>
      <c r="F14" s="6">
        <v>120</v>
      </c>
      <c r="G14" s="6">
        <v>50</v>
      </c>
      <c r="H14" s="6">
        <v>120</v>
      </c>
      <c r="I14" s="13" t="s">
        <v>27</v>
      </c>
      <c r="J14" s="13" t="s">
        <v>27</v>
      </c>
      <c r="K14" s="13" t="s">
        <v>27</v>
      </c>
      <c r="L14" s="10" t="s">
        <v>26</v>
      </c>
      <c r="M14" s="10" t="s">
        <v>27</v>
      </c>
      <c r="N14" s="13" t="s">
        <v>27</v>
      </c>
      <c r="O14" s="7" t="s">
        <v>62</v>
      </c>
      <c r="P14" s="7" t="s">
        <v>63</v>
      </c>
      <c r="Q14" s="7" t="s">
        <v>64</v>
      </c>
    </row>
    <row r="15" spans="1:17">
      <c r="A15" s="4">
        <v>13</v>
      </c>
      <c r="B15" s="4" t="s">
        <v>65</v>
      </c>
      <c r="C15" s="10" t="s">
        <v>32</v>
      </c>
      <c r="D15" s="11" t="s">
        <v>23</v>
      </c>
      <c r="E15" s="10" t="s">
        <v>24</v>
      </c>
      <c r="F15" s="6">
        <v>20</v>
      </c>
      <c r="G15" s="6">
        <v>20</v>
      </c>
      <c r="H15" s="6">
        <v>20</v>
      </c>
      <c r="I15" s="10" t="s">
        <v>26</v>
      </c>
      <c r="J15" s="10" t="s">
        <v>26</v>
      </c>
      <c r="K15" s="10" t="s">
        <v>38</v>
      </c>
      <c r="L15" s="13" t="s">
        <v>27</v>
      </c>
      <c r="M15" s="10" t="s">
        <v>26</v>
      </c>
      <c r="N15" s="10" t="s">
        <v>26</v>
      </c>
      <c r="O15" s="7" t="s">
        <v>66</v>
      </c>
      <c r="P15" s="7" t="s"/>
      <c r="Q15" s="7" t="s">
        <v>67</v>
      </c>
    </row>
    <row r="16" spans="1:17">
      <c r="A16" s="4">
        <v>14</v>
      </c>
      <c r="B16" s="4" t="s">
        <v>68</v>
      </c>
      <c r="C16" s="10" t="s">
        <v>22</v>
      </c>
      <c r="D16" s="11" t="s">
        <v>69</v>
      </c>
      <c r="E16" s="10" t="s">
        <v>70</v>
      </c>
      <c r="F16" s="6">
        <v>15</v>
      </c>
      <c r="G16" s="6" t="s"/>
      <c r="H16" s="6">
        <v>15</v>
      </c>
      <c r="I16" s="13" t="s">
        <v>27</v>
      </c>
      <c r="J16" s="10" t="s">
        <v>26</v>
      </c>
      <c r="K16" s="10" t="s">
        <v>26</v>
      </c>
      <c r="L16" s="10" t="s">
        <v>26</v>
      </c>
      <c r="M16" s="10" t="s">
        <v>26</v>
      </c>
      <c r="N16" s="10" t="s">
        <v>26</v>
      </c>
      <c r="O16" s="7" t="s">
        <v>71</v>
      </c>
      <c r="P16" s="7" t="s">
        <v>72</v>
      </c>
      <c r="Q16" s="7" t="s"/>
    </row>
    <row r="17" spans="1:17">
      <c r="A17" s="4">
        <v>15</v>
      </c>
      <c r="B17" s="4" t="s">
        <v>73</v>
      </c>
      <c r="C17" s="10" t="s">
        <v>22</v>
      </c>
      <c r="D17" s="11" t="s">
        <v>23</v>
      </c>
      <c r="E17" s="10" t="s">
        <v>24</v>
      </c>
      <c r="F17" s="6" t="s"/>
      <c r="G17" s="6" t="s"/>
      <c r="H17" s="6" t="s"/>
      <c r="I17" s="10" t="s"/>
      <c r="J17" s="10" t="s"/>
      <c r="K17" s="10" t="s"/>
      <c r="L17" s="10" t="s"/>
      <c r="M17" s="10" t="s"/>
      <c r="N17" s="10" t="s"/>
      <c r="O17" s="7" t="s"/>
      <c r="P17" s="7" t="s"/>
      <c r="Q17" s="7" t="s"/>
    </row>
    <row r="18" spans="1:17">
      <c r="A18" s="4">
        <v>16</v>
      </c>
      <c r="B18" s="4" t="s">
        <v>74</v>
      </c>
      <c r="C18" s="10" t="s">
        <v>32</v>
      </c>
      <c r="D18" s="11" t="s">
        <v>23</v>
      </c>
      <c r="E18" s="10" t="s">
        <v>33</v>
      </c>
      <c r="F18" s="6">
        <v>95</v>
      </c>
      <c r="G18" s="6">
        <v>95</v>
      </c>
      <c r="H18" s="6">
        <v>95</v>
      </c>
      <c r="I18" s="10" t="s">
        <v>38</v>
      </c>
      <c r="J18" s="10" t="s">
        <v>38</v>
      </c>
      <c r="K18" s="10" t="s">
        <v>38</v>
      </c>
      <c r="L18" s="10" t="s">
        <v>38</v>
      </c>
      <c r="M18" s="10" t="s">
        <v>38</v>
      </c>
      <c r="N18" s="10" t="s">
        <v>38</v>
      </c>
      <c r="O18" s="7" t="s">
        <v>75</v>
      </c>
      <c r="P18" s="7" t="s">
        <v>76</v>
      </c>
      <c r="Q18" s="7" t="s"/>
    </row>
    <row r="19" spans="1:17">
      <c r="A19" s="4">
        <v>17</v>
      </c>
      <c r="B19" s="4" t="s">
        <v>77</v>
      </c>
      <c r="C19" s="10" t="s">
        <v>32</v>
      </c>
      <c r="D19" s="11" t="s">
        <v>23</v>
      </c>
      <c r="E19" s="10" t="s">
        <v>24</v>
      </c>
      <c r="F19" s="6" t="s"/>
      <c r="G19" s="6" t="s"/>
      <c r="H19" s="6" t="s"/>
      <c r="I19" s="10" t="s"/>
      <c r="J19" s="10" t="s"/>
      <c r="K19" s="10" t="s"/>
      <c r="L19" s="10" t="s"/>
      <c r="M19" s="10" t="s"/>
      <c r="N19" s="10" t="s"/>
      <c r="O19" s="7" t="s"/>
      <c r="P19" s="7" t="s"/>
      <c r="Q19" s="7" t="s"/>
    </row>
    <row r="20" spans="1:17">
      <c r="A20" s="4">
        <v>18</v>
      </c>
      <c r="B20" s="4" t="s">
        <v>78</v>
      </c>
      <c r="C20" s="10" t="s">
        <v>22</v>
      </c>
      <c r="D20" s="11" t="s">
        <v>23</v>
      </c>
      <c r="E20" s="10" t="s">
        <v>70</v>
      </c>
      <c r="F20" s="14">
        <v>0</v>
      </c>
      <c r="G20" s="6">
        <v>40</v>
      </c>
      <c r="H20" s="6">
        <v>40</v>
      </c>
      <c r="I20" s="13" t="s">
        <v>27</v>
      </c>
      <c r="J20" s="13" t="s">
        <v>27</v>
      </c>
      <c r="K20" s="10" t="s">
        <v>38</v>
      </c>
      <c r="L20" s="10" t="s">
        <v>38</v>
      </c>
      <c r="M20" s="10" t="s">
        <v>38</v>
      </c>
      <c r="N20" s="10" t="s">
        <v>38</v>
      </c>
      <c r="O20" s="7" t="s">
        <v>79</v>
      </c>
      <c r="P20" s="7" t="s">
        <v>80</v>
      </c>
      <c r="Q20" s="7" t="s">
        <v>81</v>
      </c>
    </row>
    <row r="21" spans="1:17">
      <c r="A21" s="15">
        <v>19</v>
      </c>
      <c r="B21" s="15" t="s">
        <v>82</v>
      </c>
      <c r="C21" s="16" t="s">
        <v>32</v>
      </c>
      <c r="D21" s="17" t="s">
        <v>23</v>
      </c>
      <c r="E21" s="16" t="s">
        <v>24</v>
      </c>
      <c r="F21" s="18">
        <v>42</v>
      </c>
      <c r="G21" s="18" t="s"/>
      <c r="H21" s="18">
        <v>42</v>
      </c>
      <c r="I21" s="16" t="s">
        <v>26</v>
      </c>
      <c r="J21" s="16" t="s">
        <v>26</v>
      </c>
      <c r="K21" s="16" t="s">
        <v>27</v>
      </c>
      <c r="L21" s="16" t="s">
        <v>26</v>
      </c>
      <c r="M21" s="16" t="s">
        <v>26</v>
      </c>
      <c r="N21" s="16" t="s">
        <v>38</v>
      </c>
      <c r="O21" s="19" t="s">
        <v>83</v>
      </c>
      <c r="P21" s="20" t="s"/>
      <c r="Q21" s="19" t="s">
        <v>84</v>
      </c>
    </row>
    <row r="22" spans="1:17">
      <c r="A22" s="4">
        <v>20</v>
      </c>
      <c r="B22" s="4" t="s">
        <v>85</v>
      </c>
      <c r="C22" s="10" t="s">
        <v>55</v>
      </c>
      <c r="D22" s="11" t="s">
        <v>23</v>
      </c>
      <c r="E22" s="10" t="s">
        <v>24</v>
      </c>
      <c r="F22" s="14" t="s"/>
      <c r="G22" s="14" t="s"/>
      <c r="H22" s="14" t="s"/>
      <c r="I22" s="10" t="s"/>
      <c r="J22" s="21" t="s"/>
      <c r="K22" s="21" t="s"/>
      <c r="L22" s="21" t="s"/>
      <c r="M22" s="21" t="s"/>
      <c r="N22" s="21" t="s"/>
      <c r="O22" s="22" t="s"/>
      <c r="P22" s="22" t="s"/>
      <c r="Q22" s="22" t="s"/>
    </row>
    <row r="23" spans="1:17">
      <c r="A23" s="4">
        <v>21</v>
      </c>
      <c r="B23" s="4" t="s">
        <v>86</v>
      </c>
      <c r="C23" s="10" t="s">
        <v>55</v>
      </c>
      <c r="D23" s="11" t="s">
        <v>23</v>
      </c>
      <c r="E23" s="10" t="s">
        <v>24</v>
      </c>
      <c r="F23" s="14">
        <v>30</v>
      </c>
      <c r="G23" s="14" t="s"/>
      <c r="H23" s="14">
        <v>30</v>
      </c>
      <c r="I23" s="13" t="s">
        <v>27</v>
      </c>
      <c r="J23" s="21" t="s">
        <v>25</v>
      </c>
      <c r="K23" s="21" t="s">
        <v>25</v>
      </c>
      <c r="L23" s="21" t="s">
        <v>25</v>
      </c>
      <c r="M23" s="21" t="s">
        <v>25</v>
      </c>
      <c r="N23" s="21" t="s">
        <v>25</v>
      </c>
      <c r="O23" s="22" t="s">
        <v>87</v>
      </c>
      <c r="P23" s="22" t="s"/>
      <c r="Q23" s="22" t="s"/>
    </row>
    <row r="24" spans="1:17">
      <c r="A24" s="4">
        <v>22</v>
      </c>
      <c r="B24" s="4" t="s">
        <v>88</v>
      </c>
      <c r="C24" s="10" t="s">
        <v>55</v>
      </c>
      <c r="D24" s="11" t="s">
        <v>23</v>
      </c>
      <c r="E24" s="10" t="s">
        <v>24</v>
      </c>
      <c r="F24" s="14">
        <v>60</v>
      </c>
      <c r="G24" s="14" t="s"/>
      <c r="H24" s="14">
        <v>60</v>
      </c>
      <c r="I24" s="10" t="s">
        <v>38</v>
      </c>
      <c r="J24" s="21" t="s">
        <v>38</v>
      </c>
      <c r="K24" s="21" t="s">
        <v>38</v>
      </c>
      <c r="L24" s="13" t="s">
        <v>27</v>
      </c>
      <c r="M24" s="21" t="s">
        <v>38</v>
      </c>
      <c r="N24" s="21" t="s">
        <v>38</v>
      </c>
      <c r="O24" s="22" t="s">
        <v>89</v>
      </c>
      <c r="P24" s="22" t="s"/>
      <c r="Q24" s="22" t="s">
        <v>90</v>
      </c>
    </row>
    <row r="25" spans="1:17">
      <c r="A25" s="4">
        <v>23</v>
      </c>
      <c r="B25" s="4" t="s">
        <v>91</v>
      </c>
      <c r="C25" s="10" t="s">
        <v>55</v>
      </c>
      <c r="D25" s="11" t="s">
        <v>23</v>
      </c>
      <c r="E25" s="10" t="s">
        <v>24</v>
      </c>
      <c r="F25" s="14">
        <v>80</v>
      </c>
      <c r="G25" s="14" t="s"/>
      <c r="H25" s="14">
        <v>80</v>
      </c>
      <c r="I25" s="13" t="s">
        <v>27</v>
      </c>
      <c r="J25" s="13" t="s">
        <v>27</v>
      </c>
      <c r="K25" s="21" t="s">
        <v>38</v>
      </c>
      <c r="L25" s="21" t="s">
        <v>26</v>
      </c>
      <c r="M25" s="21" t="s">
        <v>26</v>
      </c>
      <c r="N25" s="21" t="s">
        <v>26</v>
      </c>
      <c r="O25" s="22" t="s">
        <v>92</v>
      </c>
      <c r="P25" s="22" t="s">
        <v>93</v>
      </c>
      <c r="Q25" s="22" t="s"/>
    </row>
    <row r="26" spans="1:17">
      <c r="A26" s="23" t="s"/>
      <c r="B26" s="24" t="s"/>
      <c r="C26" s="25" t="s"/>
      <c r="D26" s="24" t="s"/>
      <c r="E26" s="25" t="s"/>
      <c r="F26" s="26">
        <f>=SUM(F3:F25)</f>
      </c>
      <c r="G26" s="26" t="s"/>
      <c r="H26" s="23" t="s"/>
      <c r="I26" s="27" t="s"/>
      <c r="J26" s="27" t="s"/>
      <c r="K26" s="27" t="s"/>
      <c r="L26" s="27" t="s"/>
      <c r="M26" s="27" t="s"/>
      <c r="N26" s="27" t="s"/>
      <c r="O26" s="27" t="s"/>
      <c r="P26" s="27" t="s"/>
      <c r="Q26" s="27" t="s"/>
    </row>
    <row r="27" spans="1:17">
      <c r="A27" s="23" t="s"/>
      <c r="B27" s="24" t="s"/>
      <c r="C27" s="25" t="s"/>
      <c r="D27" s="23" t="s"/>
      <c r="E27" s="25" t="s"/>
      <c r="F27" s="23" t="s"/>
      <c r="G27" s="23" t="s"/>
      <c r="H27" s="23" t="s"/>
      <c r="I27" s="27" t="s"/>
      <c r="J27" s="27" t="s"/>
      <c r="K27" s="27" t="s"/>
      <c r="L27" s="27" t="s"/>
      <c r="M27" s="27" t="s"/>
      <c r="N27" s="27" t="s"/>
      <c r="O27" s="27" t="s"/>
      <c r="P27" s="27" t="s"/>
      <c r="Q27" s="27" t="s"/>
    </row>
    <row r="28" spans="1:17">
      <c r="A28" s="25" t="s"/>
      <c r="B28" s="6" t="s">
        <v>7</v>
      </c>
      <c r="C28" s="6" t="s">
        <v>94</v>
      </c>
      <c r="D28" s="6" t="s">
        <v>95</v>
      </c>
      <c r="E28" s="25" t="s"/>
      <c r="F28" s="25" t="s"/>
      <c r="G28" s="25" t="s"/>
      <c r="H28" s="25" t="s"/>
      <c r="I28" s="27" t="s"/>
      <c r="J28" s="27" t="s"/>
      <c r="K28" s="27" t="s"/>
      <c r="L28" s="27" t="s"/>
      <c r="M28" s="27" t="s"/>
      <c r="N28" s="27" t="s"/>
      <c r="O28" s="27" t="s"/>
      <c r="P28" s="27" t="s"/>
      <c r="Q28" s="27" t="s"/>
    </row>
    <row r="29" spans="1:17">
      <c r="A29" s="25" t="s"/>
      <c r="B29" s="6" t="s">
        <v>55</v>
      </c>
      <c r="C29" s="6">
        <v>430</v>
      </c>
      <c r="D29" s="28">
        <f>=C29/C32</f>
      </c>
      <c r="E29" s="25" t="s"/>
      <c r="F29" s="25" t="s"/>
      <c r="G29" s="25" t="s"/>
      <c r="H29" s="25" t="s"/>
      <c r="I29" s="27" t="s"/>
      <c r="J29" s="27" t="s"/>
      <c r="K29" s="27" t="s"/>
      <c r="L29" s="27" t="s"/>
      <c r="M29" s="27" t="s"/>
      <c r="N29" s="27" t="s"/>
      <c r="O29" s="27" t="s"/>
      <c r="P29" s="27" t="s"/>
      <c r="Q29" s="27" t="s"/>
    </row>
    <row r="30" spans="1:17">
      <c r="A30" s="25" t="s"/>
      <c r="B30" s="6" t="s">
        <v>32</v>
      </c>
      <c r="C30" s="6">
        <v>432</v>
      </c>
      <c r="D30" s="28">
        <f>=C30/C32</f>
      </c>
      <c r="E30" s="25" t="s"/>
      <c r="F30" s="25" t="s"/>
      <c r="G30" s="25" t="s"/>
      <c r="H30" s="25" t="s"/>
      <c r="I30" s="27" t="s"/>
      <c r="J30" s="27" t="s"/>
      <c r="K30" s="27" t="s"/>
      <c r="L30" s="27" t="s"/>
      <c r="M30" s="27" t="s"/>
      <c r="N30" s="27" t="s"/>
      <c r="O30" s="27" t="s"/>
      <c r="P30" s="27" t="s"/>
      <c r="Q30" s="27" t="s"/>
    </row>
    <row r="31" spans="1:17">
      <c r="A31" s="25" t="s"/>
      <c r="B31" s="6" t="s">
        <v>42</v>
      </c>
      <c r="C31" s="6">
        <v>15</v>
      </c>
      <c r="D31" s="28">
        <f>=C31/C32</f>
      </c>
      <c r="E31" s="25" t="s"/>
      <c r="F31" s="25" t="s"/>
      <c r="G31" s="25" t="s"/>
      <c r="H31" s="25" t="s"/>
      <c r="I31" s="25" t="s"/>
      <c r="J31" s="25" t="s"/>
      <c r="K31" s="25" t="s"/>
      <c r="L31" s="25" t="s"/>
      <c r="M31" s="25" t="s"/>
      <c r="N31" s="25" t="s"/>
      <c r="O31" s="25" t="s"/>
      <c r="P31" s="25" t="s"/>
      <c r="Q31" s="25" t="s"/>
    </row>
    <row r="32" spans="1:17">
      <c r="A32" s="25" t="s"/>
      <c r="B32" s="25" t="s"/>
      <c r="C32" s="29">
        <f>=SUM(C29:C31)</f>
      </c>
      <c r="D32" s="25" t="s"/>
      <c r="E32" s="25" t="s"/>
      <c r="F32" s="25" t="s"/>
      <c r="G32" s="25" t="s"/>
      <c r="H32" s="25" t="s"/>
      <c r="I32" s="25" t="s"/>
      <c r="J32" s="25" t="s"/>
      <c r="K32" s="25" t="s"/>
      <c r="L32" s="25" t="s"/>
      <c r="M32" s="25" t="s"/>
      <c r="N32" s="25" t="s"/>
      <c r="O32" s="25" t="s"/>
      <c r="P32" s="25" t="s"/>
      <c r="Q32" s="25" t="s"/>
    </row>
    <row r="33" spans="1:17">
      <c r="A33" s="25" t="s"/>
      <c r="B33" s="25" t="s"/>
      <c r="C33" s="25" t="s"/>
      <c r="D33" s="25" t="s"/>
      <c r="E33" s="25" t="s"/>
      <c r="F33" s="25" t="s"/>
      <c r="G33" s="25" t="s"/>
      <c r="H33" s="25" t="s"/>
      <c r="I33" s="25" t="s"/>
      <c r="J33" s="25" t="s"/>
      <c r="K33" s="25" t="s"/>
      <c r="L33" s="25" t="s"/>
      <c r="M33" s="25" t="s"/>
      <c r="N33" s="25" t="s"/>
      <c r="O33" s="25" t="s"/>
      <c r="P33" s="25" t="s"/>
      <c r="Q33" s="25" t="s"/>
    </row>
  </sheetData>
  <mergeCells count="4">
    <mergeCell ref="A1:C1"/>
    <mergeCell ref="D1:F1"/>
    <mergeCell ref="G1:P1"/>
    <mergeCell ref="Q1:Q2"/>
  </mergeCells>
  <dataValidations>
    <dataValidation type="list" errorStyle="stop" showInputMessage="1" showErrorMessage="1" prompt="" sqref="C3:C25">
      <formula1>"姚大超,熊大,暂缺,"</formula1>
      <formula2/>
    </dataValidation>
    <dataValidation type="list" errorStyle="stop" showInputMessage="1" showErrorMessage="1" prompt="" sqref="D3:D25">
      <formula1>"无偏差,有偏差,"</formula1>
      <formula2/>
    </dataValidation>
    <dataValidation type="list" errorStyle="stop" showInputMessage="1" showErrorMessage="1" prompt="" sqref="E3:E25">
      <formula1>"填预算,确定预算,正常推进,"</formula1>
      <formula2/>
    </dataValidation>
    <dataValidation type="list" errorStyle="stop" showInputMessage="1" showErrorMessage="1" prompt="" sqref="I3:I25">
      <formula1>"有意向,无意向,待铺排,意向待定,"</formula1>
      <formula2/>
    </dataValidation>
    <dataValidation type="list" errorStyle="stop" showInputMessage="1" showErrorMessage="1" prompt="" sqref="J3:J25">
      <formula1>"有意向,无意向,待铺排,意向待定,"</formula1>
      <formula2/>
    </dataValidation>
    <dataValidation type="list" errorStyle="stop" showInputMessage="1" showErrorMessage="1" prompt="" sqref="K3:K25">
      <formula1>"有意向,无意向,待铺排,意向待定,"</formula1>
      <formula2/>
    </dataValidation>
    <dataValidation type="list" errorStyle="stop" showInputMessage="1" showErrorMessage="1" prompt="" sqref="L3:L25">
      <formula1>"有意向,无意向,待铺排,意向待定,"</formula1>
      <formula2/>
    </dataValidation>
    <dataValidation type="list" errorStyle="stop" showInputMessage="1" showErrorMessage="1" prompt="" sqref="M3:M25">
      <formula1>"有意向,无意向,待铺排,意向待定,"</formula1>
      <formula2/>
    </dataValidation>
    <dataValidation type="list" errorStyle="stop" showInputMessage="1" showErrorMessage="1" prompt="" sqref="N3:N25">
      <formula1>"有意向,无意向,待铺排,意向待定,"</formula1>
      <formula2/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2026-04-10T16:40:37Z</dcterms:created>
  <dcterms:modified xsi:type="dcterms:W3CDTF">2026-04-10T16:40:37Z</dcterms:modified>
</cp:coreProperties>
</file>