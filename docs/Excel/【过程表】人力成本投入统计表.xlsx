
<file path=[Content_Types].xml><?xml version="1.0" encoding="utf-8"?>
<Types xmlns="http://schemas.openxmlformats.org/package/2006/content-types">
  <Default Extension="xml" ContentType="application/xml"/>
  <Default Extension="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人力）" sheetId="1" r:id="rId3"/>
    <sheet name="部门日志汇总" sheetId="2" r:id="rId4"/>
    <sheet name="项目工时汇总" sheetId="3" r:id="rId5"/>
    <sheet name="原始-部门" sheetId="4" r:id="rId6"/>
    <sheet name="原始表-商机" sheetId="5" r:id="rId7"/>
    <sheet name="原始表-项目" sheetId="6" r:id="rId8"/>
  </sheets>
  <calcPr fullCalcOnLoad="0"/>
</workbook>
</file>

<file path=xl/sharedStrings.xml><?xml version="1.0" encoding="utf-8"?>
<sst xmlns="http://schemas.openxmlformats.org/spreadsheetml/2006/main" count="862" uniqueCount="862">
  <si>
    <t/>
  </si>
  <si>
    <t>序号</t>
  </si>
  <si>
    <t>事项</t>
  </si>
  <si>
    <t>Q1</t>
  </si>
  <si>
    <t>部门人员投入本部门项目人力成本总计</t>
  </si>
  <si>
    <t>外部门投入本部门项目人力成本总计</t>
  </si>
  <si>
    <t>部门人员投入本部门日志总计</t>
  </si>
  <si>
    <t>外部门投入本部门日志总计</t>
  </si>
  <si>
    <t>部门人员投入非本部门项目人力成本总计</t>
  </si>
  <si>
    <t>日志任务名称</t>
  </si>
  <si>
    <t>日志工时</t>
  </si>
  <si>
    <t>日志工时金额（部门内）</t>
  </si>
  <si>
    <t>日志工时金额（部门外）</t>
  </si>
  <si>
    <t>部门管理</t>
  </si>
  <si>
    <t>市场营销</t>
  </si>
  <si>
    <t>乘云会客厅</t>
  </si>
  <si>
    <t>省级拓展</t>
  </si>
  <si>
    <t>行业协会商会</t>
  </si>
  <si>
    <t>场景探索</t>
  </si>
  <si>
    <t>AI数字社区</t>
  </si>
  <si>
    <t>新就业群体</t>
  </si>
  <si>
    <t>一张图</t>
  </si>
  <si>
    <t>内部交流</t>
  </si>
  <si>
    <t>两个覆盖</t>
  </si>
  <si>
    <t>人民建议征集</t>
  </si>
  <si>
    <t>总计</t>
  </si>
  <si>
    <t>项目编号</t>
  </si>
  <si>
    <t>统一项目名称</t>
  </si>
  <si>
    <t>总工时金额</t>
  </si>
  <si>
    <t>部门内人员</t>
  </si>
  <si>
    <t>外部门人员</t>
  </si>
  <si>
    <t>工时</t>
  </si>
  <si>
    <t>工时金额</t>
  </si>
  <si>
    <t>项目归属部门</t>
  </si>
  <si>
    <t>项目阶段</t>
  </si>
  <si>
    <t>TB12024068</t>
  </si>
  <si>
    <t>天府新区公共服务码二期项目</t>
  </si>
  <si>
    <t>非</t>
  </si>
  <si>
    <t>商机</t>
  </si>
  <si>
    <t>TB12025013</t>
  </si>
  <si>
    <t>东部新区智能社工项目</t>
  </si>
  <si>
    <t>是</t>
  </si>
  <si>
    <t>TB12025020</t>
  </si>
  <si>
    <t>锦江社区智能助手项目</t>
  </si>
  <si>
    <t>TB12025024</t>
  </si>
  <si>
    <t>四川省委社工部一体化项目申报备案及课题调研</t>
  </si>
  <si>
    <t>TB12026001</t>
  </si>
  <si>
    <t>2026年崇州激励资金项目</t>
  </si>
  <si>
    <t>TB12026002</t>
  </si>
  <si>
    <t>四川省委社工部热点信息</t>
  </si>
  <si>
    <t>TB202602001</t>
  </si>
  <si>
    <t>攀枝花市东区智慧教育新型基础设施建设项目第三期（一标段）</t>
  </si>
  <si>
    <t>TB202602004</t>
  </si>
  <si>
    <t>温江政务应用程序的集约化整合服务</t>
  </si>
  <si>
    <t>TB202602005</t>
  </si>
  <si>
    <t>2026年崇州社会工作部智慧化</t>
  </si>
  <si>
    <t>TB202602006</t>
  </si>
  <si>
    <t>2026年大邑社会工作部智慧化</t>
  </si>
  <si>
    <t>TB202602008</t>
  </si>
  <si>
    <t>2026年大邑激励资金项目</t>
  </si>
  <si>
    <t>TB202602010</t>
  </si>
  <si>
    <t>2026年蒲江社会工作部智慧化</t>
  </si>
  <si>
    <t>TB202602021</t>
  </si>
  <si>
    <t>社区智能助手</t>
  </si>
  <si>
    <t>TB202603003</t>
  </si>
  <si>
    <t>金控集团纪检项目</t>
  </si>
  <si>
    <t>TB202603015</t>
  </si>
  <si>
    <t>郫都行业商业协会运营项目</t>
  </si>
  <si>
    <t>TB202603016</t>
  </si>
  <si>
    <t>郫都区2026年新就业服务项目</t>
  </si>
  <si>
    <t>TB42024052</t>
  </si>
  <si>
    <t>可信装修服务</t>
  </si>
  <si>
    <t>TB42025055</t>
  </si>
  <si>
    <t>集团协同</t>
  </si>
  <si>
    <t>TB42026007</t>
  </si>
  <si>
    <t>人保财险保险合作</t>
  </si>
  <si>
    <t>TP25112024035</t>
  </si>
  <si>
    <t>四川省委社工部信息化建设调研项目</t>
  </si>
  <si>
    <t>交付</t>
  </si>
  <si>
    <t>TP31102025027</t>
  </si>
  <si>
    <t>社工一体化平台项目</t>
  </si>
  <si>
    <t>TP31112026004</t>
  </si>
  <si>
    <t>社会工作热点信息汇总及态势分析延续性服务项目</t>
  </si>
  <si>
    <t>TP41102023246</t>
  </si>
  <si>
    <t>锦江区应急管理局安全事件奖励审批 系统建设</t>
  </si>
  <si>
    <t>TP41102025024</t>
  </si>
  <si>
    <t>金牛区社会工作部“金牛提案”提质升级项目</t>
  </si>
  <si>
    <t>TP41102025025</t>
  </si>
  <si>
    <t>社区工作者平台项目（新津区）</t>
  </si>
  <si>
    <t>TP41102025029</t>
  </si>
  <si>
    <t>TP41102025038</t>
  </si>
  <si>
    <t>郫都行业商业协会平台建设项目</t>
  </si>
  <si>
    <t>TP41112024032</t>
  </si>
  <si>
    <t>2024年郫都区门户项目</t>
  </si>
  <si>
    <t>TP41112024040</t>
  </si>
  <si>
    <t>2024年大邑天府市民云智慧场景</t>
  </si>
  <si>
    <t>TP41112025002</t>
  </si>
  <si>
    <t>2024年双流区社工部门户项目</t>
  </si>
  <si>
    <t>TP41112025031</t>
  </si>
  <si>
    <t>2025年邛崃社会工作智慧场景</t>
  </si>
  <si>
    <t>TP41112025034</t>
  </si>
  <si>
    <t>2024年龙泉驿区特色门户服务采购项目</t>
  </si>
  <si>
    <t>TP41112025045</t>
  </si>
  <si>
    <t>郫都区智能社工项目</t>
  </si>
  <si>
    <t>TP41112025047</t>
  </si>
  <si>
    <t>2025年都江堰社区工作者平台定制化场景</t>
  </si>
  <si>
    <t>TP41132023024</t>
  </si>
  <si>
    <t>新都智慧社区平台</t>
  </si>
  <si>
    <t>TP41132023224</t>
  </si>
  <si>
    <t>东部新区智慧社区项目（蓝绸带社区）</t>
  </si>
  <si>
    <t>TP41132025022</t>
  </si>
  <si>
    <t>2024年简阳门户</t>
  </si>
  <si>
    <t>TP41132025023</t>
  </si>
  <si>
    <t>2025年蒲江天府市民云智慧场景</t>
  </si>
  <si>
    <t>TP41132025040</t>
  </si>
  <si>
    <t>2025年都江堰社会工作部智慧场景</t>
  </si>
  <si>
    <t>TP41132025046</t>
  </si>
  <si>
    <t>高新新就业群体服务场景</t>
  </si>
  <si>
    <t>TP41142024043</t>
  </si>
  <si>
    <t>新都天府市民云门户（两企三新场景）项目</t>
  </si>
  <si>
    <t>TP41142024044</t>
  </si>
  <si>
    <t>彭州市2024年智慧建设项目</t>
  </si>
  <si>
    <t>TP41142025030</t>
  </si>
  <si>
    <t>双流西航港网格智慧监督微网实格智慧场景</t>
  </si>
  <si>
    <t>TP41142025039</t>
  </si>
  <si>
    <t>郫都区新就业群体项目</t>
  </si>
  <si>
    <t>TP43132025003</t>
  </si>
  <si>
    <t>2024年崇州门户</t>
  </si>
  <si>
    <t>TP44132025054</t>
  </si>
  <si>
    <t>新都区新就业群体友好服务场景发布仪式活动服务</t>
  </si>
  <si>
    <t>TP61132023204</t>
  </si>
  <si>
    <t>四川天府新区华阳街道南山社区智慧社区场景营造项目</t>
  </si>
  <si>
    <t>TP61132025042</t>
  </si>
  <si>
    <t>清波社区AI智能问答</t>
  </si>
  <si>
    <t>TP71102023167</t>
  </si>
  <si>
    <t>锦江区居民端服务采购项目</t>
  </si>
  <si>
    <t>TP71102025048</t>
  </si>
  <si>
    <t>智慧乡村项目</t>
  </si>
  <si>
    <t>TP71152026001</t>
  </si>
  <si>
    <t>龙泉驿数据支撑技术服务-垂直行业AI大模型项目</t>
  </si>
  <si>
    <t>部门日志明细汇总（超管）V2</t>
  </si>
  <si>
    <t>数据源：日志管理-申请V2  执行时间：2026-04-01 16:26:47</t>
  </si>
  <si>
    <t>日志部门名称</t>
  </si>
  <si>
    <t>日志工作内容</t>
  </si>
  <si>
    <t>日志工时金额</t>
  </si>
  <si>
    <t>流程状态</t>
  </si>
  <si>
    <t>填报人</t>
  </si>
  <si>
    <t>填报部门</t>
  </si>
  <si>
    <t>日期</t>
  </si>
  <si>
    <t>日志开始日期</t>
  </si>
  <si>
    <t>日志截止日期</t>
  </si>
  <si>
    <t>社会工作业务部</t>
  </si>
  <si>
    <t>技术可行性评估</t>
  </si>
  <si>
    <t>已结束</t>
  </si>
  <si>
    <t>熊禹</t>
  </si>
  <si>
    <t>交付管理中心</t>
  </si>
  <si>
    <t>内容指导</t>
  </si>
  <si>
    <t>未结束</t>
  </si>
  <si>
    <t>黄千偌</t>
  </si>
  <si>
    <t>内部季度目标梳理</t>
  </si>
  <si>
    <t>成本管理办法思考、沟通、确认</t>
  </si>
  <si>
    <t>易云浩</t>
  </si>
  <si>
    <t>第一季度绩效考核，第二季度绩效制定</t>
  </si>
  <si>
    <t>区县铺排情况同步售前</t>
  </si>
  <si>
    <t>1、收集整理最后一家供应商报价内容，筛选3家报价确定控制价；2、根据要求准备报价函、拟邀供应商名单、比价文件、采购及上会审批表内容；3、视频内容脚本优化。</t>
  </si>
  <si>
    <t>郭霏</t>
  </si>
  <si>
    <t>参加部门绩效沟通会议和项目沟通会议</t>
  </si>
  <si>
    <t>王浩</t>
  </si>
  <si>
    <t>公司绩效、部门Q2、过程内容审核</t>
  </si>
  <si>
    <t>1、按照与党支部沟通情况，修改方案；2、与一粒麦子、新空间等社会组织沟通合作可能；</t>
  </si>
  <si>
    <t>揭榜挂帅发文编写</t>
  </si>
  <si>
    <t>1、与采购同事沟通，沟通目前公司两种采购流程需要的文件清单；2、沟通4家供应商，分别发布需求清单，收集整理3家报价，撰写询价函；3、撰写发布后筹备任务，整理内部会议沟通前筹备工作；4、内部动员会</t>
  </si>
  <si>
    <t>品牌工作：
1、服务号内容撰写1篇；
2、ai海报设计学习，设计指令及提示词优化</t>
  </si>
  <si>
    <t>揭榜挂帅沟通</t>
  </si>
  <si>
    <t>内部管理</t>
  </si>
  <si>
    <t>内部组织会议，沟通市级暖新汇、揭榜挂帅事宜</t>
  </si>
  <si>
    <t>与公司党支部讨论两个覆盖业务难点，确定下一步方向</t>
  </si>
  <si>
    <t>1、一体化信息平台发布会初步框架搭建，初步构思发布会的整体流程框架（暖场-开场-发布-解读-启动仪式等），标注出需要后续注意的环节。
2、基于去年框架，初步列出可能需要的宣传物料清单（如主视觉、邀请函、H5预热、现场PPT、宣传折页等）。
3、内部流程沟通，供应商需求报价沟通。</t>
  </si>
  <si>
    <t>品牌：
1、学习活动宣传片、发布会暖场视频、领导致辞串场视频等不同类型脚本的写作逻辑与结构特点。
2、AI设计类学习，在上周提示词学习基础上，实际使用1-2款AI工具（如可画AI/稿定AI）生成海报样例，测试不同提示词的效果差异，并记录优化经验。
3、AI关键词调整，研究如何高效产出符合政务风格的宣传素材。</t>
  </si>
  <si>
    <t>目标设定与沟通</t>
  </si>
  <si>
    <t>1、区县铺排情况整理，市级揭榜挂帅沟通，清单初稿编写；2、邛崃、金牛等区县信息更新；</t>
  </si>
  <si>
    <t>存量项目日志问题处理，付款计划收集</t>
  </si>
  <si>
    <t>市级暖新汇推广方案支撑，市上沟通，责任清单拆分</t>
  </si>
  <si>
    <t>工作交接，完成离职流程</t>
  </si>
  <si>
    <t>曾剑鸿</t>
  </si>
  <si>
    <t>会客厅公司集采流程内部确认，沟通供应商确认对方完成能力及招采配合，撰写需求清单，交付供应商提供报价。</t>
  </si>
  <si>
    <t>品牌相关：
1、系统学习短视频脚本的经典结构（如黄金三秒、痛点引入、价值输出、舆论引导），梳理不同长短视频的脚本特点与差异。
2、学习多个政务、公益类优秀短视频案例，逐帧分析其脚本设计逻辑、情绪调动技巧及信息传递效率。
3、学习使用主流AI海报设计工具（即梦ai、可灵ai、稿定设计）、并尝试练习操作逻辑。</t>
  </si>
  <si>
    <t>成都民促中心交流材料（PPT）：按照领导建议，修改材料。</t>
  </si>
  <si>
    <t>莫雷</t>
  </si>
  <si>
    <t>省级沟通</t>
  </si>
  <si>
    <t>暖新汇推广方案拟文</t>
  </si>
  <si>
    <t>1、部门年度目标讨论确认；2、项目日志填写问题收集，跟进处理</t>
  </si>
  <si>
    <t>1、与市场再次沟通揭榜挂帅场景事宜；2、拟定区县场景清单</t>
  </si>
  <si>
    <t>离职前的客户交接，工作交接</t>
  </si>
  <si>
    <t>1、1期工作筹备时间表更新
2、梳理设计清单，倒推时间计划</t>
  </si>
  <si>
    <t>成都市民促中心沟通交流材料（PPT）：
1、成都市民促中心线上服务平台规划设计及郫都区建设情况分享。</t>
  </si>
  <si>
    <t>纪检沟通</t>
  </si>
  <si>
    <t>揭榜挂帅</t>
  </si>
  <si>
    <t>指标设定，组织架构建立</t>
  </si>
  <si>
    <t>沟通</t>
  </si>
  <si>
    <t>小程序宣传视频脚本编写，素材整理，推进视频制作</t>
  </si>
  <si>
    <t>参加省社会工作部应用场景申报材料交流会，并参与撰写工作</t>
  </si>
  <si>
    <t>张涛</t>
  </si>
  <si>
    <t>参加省社会工作部三张清单拆解方法交流会，并参与拆解工作</t>
  </si>
  <si>
    <t>研读货车司机最近行业报告及新赋能方向、桌面调研</t>
  </si>
  <si>
    <t>彭习羽</t>
  </si>
  <si>
    <t>讨论各区县可争取的揭榜挂帅内容及可行性分析</t>
  </si>
  <si>
    <t>省委社工部交接；青白江铺排；成华区铺排</t>
  </si>
  <si>
    <t>社工部微信推文撰写《出示“暖新码”即可享春节限时暖餐！成都121家爱心食堂为城市奔跑者加“餐”》，提交初稿并根据要求修改最终定稿。</t>
  </si>
  <si>
    <t>蓝绸带数字社区视频需求了解、素材网上搜索下载，视频剪辑</t>
  </si>
  <si>
    <t>乘云公众号每周内容更新，春节更新素材准备。</t>
  </si>
  <si>
    <t>熊焰</t>
  </si>
  <si>
    <t>1、新就业项目实施方案细化，补充实施步骤、输出材料、工作量评估等内容
2、补充志愿者服务队培育成长方案内容。</t>
  </si>
  <si>
    <t>集团纪检系统复用</t>
  </si>
  <si>
    <t>热点信息项目及社会工作者业务</t>
  </si>
  <si>
    <t>商协会售前方案讨论并提出简化及修改意见</t>
  </si>
  <si>
    <t>孙悦</t>
  </si>
  <si>
    <t>梳理天府市民云数据资源情况需求表；</t>
  </si>
  <si>
    <t>线下综合服务点位思路讨论，调整定位和思路</t>
  </si>
  <si>
    <t>1、财务系统和OA系统审批流程测试；2、建立部门项目台账并更新信息；3、完成部门存量项目需求盘点；4、整理部门运营需求；</t>
  </si>
  <si>
    <t>推动郫都商协会方案内部讨论和内部修改，</t>
  </si>
  <si>
    <t>沟通、撰写、评审四川省社会工作者服务管理平台方案</t>
  </si>
  <si>
    <t>基于金牛区线下综合服务点位方案反馈，沟通线下点位方案优化</t>
  </si>
  <si>
    <t>与售前团队沟通区县项目情况，完成工作交接</t>
  </si>
  <si>
    <t>参与郫都商协会方案内部修改</t>
  </si>
  <si>
    <t>乘云会客厅：
1、根据一体化信息平台的信息内容调整会客厅方案；2、指定节后推进计划；</t>
  </si>
  <si>
    <t>打样物料入库，清算盘点物料库存；过年物料发放清点。</t>
  </si>
  <si>
    <t>工作范围调整沟通</t>
  </si>
  <si>
    <t>川观沟通</t>
  </si>
  <si>
    <t>年度目标</t>
  </si>
  <si>
    <t>产品团队第一次会议，明确分工与目标</t>
  </si>
  <si>
    <t>1.讨论东部新区、新津可拓展方向；2.基于区县揭榜挂帅方案进行研讨支撑</t>
  </si>
  <si>
    <t>编写汇报材料，前往崇州沟通合作意向，两个覆盖结合志愿者讨论</t>
  </si>
  <si>
    <t>1、前往金牛沟通线下综合服务点位合作意向；2、梳理各个区县场景情况，讨论各个区县策略；3、讨论东部新区、新津可拓展方向；4、支撑区县揭榜挂帅方案初稿编写，市级汇报；</t>
  </si>
  <si>
    <t>1、参加社工存量项目交接会，启动交接；2、存量项目需求收集；3、收集付款计划表</t>
  </si>
  <si>
    <t>参与崇州两个覆盖-志愿者方案的沟通、设计</t>
  </si>
  <si>
    <t>再版、评审、论证2026年揭榜挂帅材料</t>
  </si>
  <si>
    <t>铺排金牛区社会工作部，终点沟通线下综合服务点位合作方案</t>
  </si>
  <si>
    <t>再版、评审、论证区县铺排总结汇报方案，并向市委社会工作部三处领导汇报</t>
  </si>
  <si>
    <t>崇州两个覆盖沟通合作意向、两个覆盖结合志愿者讨论</t>
  </si>
  <si>
    <t>乘云会客厅：
1、 根据市级反馈意见调整会客厅方案；2、沟通相关同事，了解一季度可发布场景（社工证登记、专职工作者）；3、了解相关场景发布时间、产品内容、提炼场景特色、编纂可发布内容；4、收集并汇总初步反馈，梳理出共识点与待决争议点，制定下周方案细化的具体计划。</t>
  </si>
  <si>
    <t>售前项目沟通、分配沟通、交接会议等</t>
  </si>
  <si>
    <t>试点区（市）县行业协会商会管理应用场景创新规划设计（初稿）
1、按照公司领导建议，完善、修改材料</t>
  </si>
  <si>
    <t>一张图用户调研确认，启动产品设计</t>
  </si>
  <si>
    <t>1.现场汇报协会方案汇报，确定下一步完善方案后给省委社会工作部汇报争取试点支持；2.同步业主意见，提供建议辅助售前完成材料输出</t>
  </si>
  <si>
    <t>推动铺排彭州，累计铺排14个区县</t>
  </si>
  <si>
    <t>确定区县项目经理分工和项目交接表，与项目同事面谈；</t>
  </si>
  <si>
    <t>前往新投集团验收AI数字社区，探索合作可能性</t>
  </si>
  <si>
    <t>一张图用户调研确认，推动产品设计</t>
  </si>
  <si>
    <t>推动郫都商协会方案汇报，确定下一步完善方案后给省委社会工作部汇报争取试点支持</t>
  </si>
  <si>
    <t>对比重庆市社会工作一体化平台，比较成都方案优势，输出报告</t>
  </si>
  <si>
    <t>撰写2026市级揭榜挂帅发文初稿</t>
  </si>
  <si>
    <t>撰写区县铺排总结报告</t>
  </si>
  <si>
    <t>铺排彭州社会工作部，沟通智慧基层治理、行业协会商会等合作方案</t>
  </si>
  <si>
    <t>个人工作方向探讨</t>
  </si>
  <si>
    <t>乘云会客厅：
根据意见重新调整会客厅方案并提交市上。沟通后由于整体内容变更，方向大改，本周完成沟通及大体框架规划。</t>
  </si>
  <si>
    <t>重庆一体化平台对比分析</t>
  </si>
  <si>
    <t>试点区（市）县行业协会商会管理应用
场景创新规划设计（初稿）
1、向郫都区委社工部相关领导汇报材料内容及构思；
2、按照客户及公司领导建议，在方案中新增“城乡社区服务市场”板块，并设计相关业务流程。</t>
  </si>
  <si>
    <t>准备和评审沟通</t>
  </si>
  <si>
    <t>目标设定、工作交接、人员沟通</t>
  </si>
  <si>
    <t>与运营确认热点信息相关字段；按产品逻辑重新梳理码上报字段项</t>
  </si>
  <si>
    <t>内部讨论AI数字社区渠道销售策略的可行性，形成初步结论</t>
  </si>
  <si>
    <t>郫都商协会方案讨论，输出建议，推动定稿</t>
  </si>
  <si>
    <t>1、社工业务成本管控方法讨论；2、社工业务已有项目盘点，人员交接计划拟定；</t>
  </si>
  <si>
    <t>推动运营介入崇州、高新项目交付</t>
  </si>
  <si>
    <t>内部沟通锦城培训学院两个覆盖合作可行性</t>
  </si>
  <si>
    <t>AI数字社区向渠道方演示，沟通合作模式</t>
  </si>
  <si>
    <t>新都新就业铺排</t>
  </si>
  <si>
    <t>乘云会客厅：
1、乘云会客厅2026策划方案撰写并交付初稿；2、根据意见调整会客厅2026方案细节，重点调整培训主题方向；3、会客厅2025费用结算，笔记本物料确认；</t>
  </si>
  <si>
    <t>复盘现有运营方案，针对铺排反馈的信息潜在需求进行适用性分析与调整。冰整理方案优化后的版本。</t>
  </si>
  <si>
    <t>1、复盘现有运营方案，针对铺排反馈的信息潜在需求进行适用性分析与调整。2、学习行业最新运营案例，为现有方案补充新的创意点与执行细节。3、整理方案优化后的版本。</t>
  </si>
  <si>
    <t>售前项目情况沟通、盘点和划分等</t>
  </si>
  <si>
    <t>试点区（市）县行业协会商会管理应用场景创新规划设计（初稿）：
1、在运营服务之外，加入部分系统建设内容，包括：风险评估模型、商协会业务数据库等。</t>
  </si>
  <si>
    <t>新就业场景深化运营方向探索，志愿者服务/志愿者群体培育成长、货车司机、等群体展开讨论梳理。</t>
  </si>
  <si>
    <t>竞品沟通</t>
  </si>
  <si>
    <t>川观、人保沟通</t>
  </si>
  <si>
    <t>内部讨论确认季度目标，明确场景铺排工作和相关场景推进工作等内容</t>
  </si>
  <si>
    <t>1.内部确认一张图后续推进方案，待下周与业主汇报后正式启动；2.根据确定的策略，输出《凝聚服务群众》板块按产品方式推进的字段项</t>
  </si>
  <si>
    <t>志愿者场景崇州沟通并初步形成思路</t>
  </si>
  <si>
    <t>与销售对接铺排计划，铺排持续推进，铺排都江堰</t>
  </si>
  <si>
    <t>蒲江一张图内部情况沟通，待下周与业主汇报后正式启动</t>
  </si>
  <si>
    <t>沟通参与季度计划的拟定工作</t>
  </si>
  <si>
    <t>都江堰社会工作部铺排+方案宣导</t>
  </si>
  <si>
    <t>志愿者场景崇州沟通并初步形成方案</t>
  </si>
  <si>
    <t>评估蒲江一张图产品方案</t>
  </si>
  <si>
    <t>乘云会客厅：
1、社工部2026年培训活动及大方向背景资料学习；2、构思会客厅2026年培训主题方向；3、2026年方案框架初步搭建；</t>
  </si>
  <si>
    <t>品宣工作：
1、内部工作沟通交流，确定2026主要品宣工作内容方向；2、2025年品宣工作资料整理及归档；3、2025年会客厅费用结算流程签字及系统资料准备；</t>
  </si>
  <si>
    <t>行业商业协会：
1、收集关于“促进社会组织健康发展”、“数字化转型”的相关政策，重点分析对行业协会商会服务模式创新的指导要求；2、搜索蓉会共享家目前运营情况，研究成华蓉会共享家的打造、运营及宣推；3、学习其他省市行业协会服务平台资料，（广东行业协会之家），分析其线上服务模块、会员活跃策略及数据赋能方式。</t>
  </si>
  <si>
    <t>组织山东一体化平台招标内容沟通会议</t>
  </si>
  <si>
    <t>试点区（市）县行业协会商会管理应用
场景创新规划设计（初稿）
1、从运营角度出发，重构方案。</t>
  </si>
  <si>
    <t>学习蓉会通产品资料和深度运营方案</t>
  </si>
  <si>
    <t>项目日志明细汇总（超管）V2</t>
  </si>
  <si>
    <t>数据源：日志管理-申请V2,项目管理-台账V2  执行时间：2026-04-01 15:33:09</t>
  </si>
  <si>
    <t>项目名称</t>
  </si>
  <si>
    <t>项目经理</t>
  </si>
  <si>
    <t>任务名称</t>
  </si>
  <si>
    <t>工作内容</t>
  </si>
  <si>
    <t>褚骏涵</t>
  </si>
  <si>
    <t>项目管理</t>
  </si>
  <si>
    <t>测评整改验证、并协助测评人员进行测评</t>
  </si>
  <si>
    <t>龙泉驿区智慧蓉城特色服务优化提升运营项目</t>
  </si>
  <si>
    <t>日常答疑</t>
  </si>
  <si>
    <t>验收材料编写</t>
  </si>
  <si>
    <t>温江区人民建议征集与亲邻协商项目</t>
  </si>
  <si>
    <t>验收材料编写、整理</t>
  </si>
  <si>
    <t>2025年蒲江天府市民云门户</t>
  </si>
  <si>
    <t>人民建议征集问卷配置，日常答疑</t>
  </si>
  <si>
    <t>双流区天府市民云服务项目（第六期）合同书</t>
  </si>
  <si>
    <t>事务公开日常答疑</t>
  </si>
  <si>
    <t>2024年—2025年天府市民云新都区特色门户服务采购项目</t>
  </si>
  <si>
    <t>汪志炯</t>
  </si>
  <si>
    <t>项目实施</t>
  </si>
  <si>
    <t>黄萍</t>
  </si>
  <si>
    <t>政务云、立项、暖新汇</t>
  </si>
  <si>
    <t>暖新汇</t>
  </si>
  <si>
    <t>天府新区食物银行接入暖新汇需求沟通，方案讨论</t>
  </si>
  <si>
    <t>项目管理及实施</t>
  </si>
  <si>
    <t>三方验收测评发起申请</t>
  </si>
  <si>
    <t>2024年天府市民云项目合同（崇州）</t>
  </si>
  <si>
    <t>管理工作</t>
  </si>
  <si>
    <t>1、前往崇州，支撑公安安全检查需求；2、项目变更说明审核，内部用印；3、随手拍事件审核；</t>
  </si>
  <si>
    <t>1、一张图推进：申请UI、城运沟通等</t>
  </si>
  <si>
    <t>运维及售后服务</t>
  </si>
  <si>
    <t>1、小程序认证推进；2、民湖社区使用培训；</t>
  </si>
  <si>
    <t>项目管理及实施工作</t>
  </si>
  <si>
    <t>运营数据更新</t>
  </si>
  <si>
    <t>平台运营</t>
  </si>
  <si>
    <t>1、发布会市级汇报方案撰写；2、（外出）发布会市级汇报；3、其他内部筹备工作沟通。</t>
  </si>
  <si>
    <t>参加沟通会议，需求文件修改，演示部分沟通和修改，评分标准沟通与修改等</t>
  </si>
  <si>
    <t>项目进度跟进</t>
  </si>
  <si>
    <t>项目汇报，研发进度跟进</t>
  </si>
  <si>
    <t>人民建议征集问卷配置</t>
  </si>
  <si>
    <t>项目汇报，验收材料调整</t>
  </si>
  <si>
    <t>项目运营实施</t>
  </si>
  <si>
    <t>政务云、发布会、项目立项</t>
  </si>
  <si>
    <t>采购需求编制修改及政务云选型</t>
  </si>
  <si>
    <t>支持工作</t>
  </si>
  <si>
    <t>参加讨论会议</t>
  </si>
  <si>
    <t>王添</t>
  </si>
  <si>
    <t>项目日常工作</t>
  </si>
  <si>
    <t>2025年邛崃天府市民云门户项目</t>
  </si>
  <si>
    <t>采购需求、评分标准编写、沟通；</t>
  </si>
  <si>
    <t xml:space="preserve">
项目清单沟通、编写</t>
  </si>
  <si>
    <t>1、验收材料编写；2、随手报审核；3、变更说明推进</t>
  </si>
  <si>
    <t>1、一体化信息平台发布会筹备任务清单；2、发布会任务分工内部会议</t>
  </si>
  <si>
    <t>初验材料准备</t>
  </si>
  <si>
    <t>ai需求评审</t>
  </si>
  <si>
    <t>绩效材料编辑，月报、周报提交</t>
  </si>
  <si>
    <t>【热点信息运营】
1、每日热点内容审核校正
2、结合社工热点整理内容专栏。
3、产品优化需求梳理及沟通。</t>
  </si>
  <si>
    <t>项目研发</t>
  </si>
  <si>
    <t>【蒲江一张图】蒲江一张图运营实施工作，梳理数据报告的框架大纲、板块、呈现形式，待后续结合数据字段定重要数据内容</t>
  </si>
  <si>
    <t>简阳市天府市民云六期运维服务采购项目</t>
  </si>
  <si>
    <t>项目推进</t>
  </si>
  <si>
    <t>责任清单沟通+随手拍开会+住建沟通</t>
  </si>
  <si>
    <t>前往高新移动沟通AI数字社区</t>
  </si>
  <si>
    <t>1、扫码进门速度优化策略讨论；2、天府新区客诉问题跟进</t>
  </si>
  <si>
    <t>一张图进度跟进，UI申请</t>
  </si>
  <si>
    <t>1、锦彩生活小程序各类资讯更新；2、安全隐患随手拍项目梳理；3、锦城生活小程序信创迁移成本评估；4、前往锦江工商银行维修一体机；</t>
  </si>
  <si>
    <t>1、人民建议征集新开一个试点社区；2、区县门户专区上线人民建议服务；3、随手拍审核；4、资讯更新，门户巡检</t>
  </si>
  <si>
    <t>1、政务云选型沟通；2、一体化项目需求文件编制及修改</t>
  </si>
  <si>
    <t>成都高新区新就业群体参与食品安全监督等基层治理服务场景项目</t>
  </si>
  <si>
    <t>产品设计</t>
  </si>
  <si>
    <t>项目管理等产品设计</t>
  </si>
  <si>
    <t>徐嘉诺</t>
  </si>
  <si>
    <t>项目采购需求、评分标准编制、修改，参加会议沟通等。</t>
  </si>
  <si>
    <t>协助开通各部门账号，并调试</t>
  </si>
  <si>
    <t>验收材料调整</t>
  </si>
  <si>
    <t>【热点信息运营】
1、每日热点内容审核校正
2、结合社工热点梳理“新就业群体正面能量案例”内容专栏。
3、产品优化需求梳理及沟通。
4、热点信息2月月报数据梳理、内容撰写</t>
  </si>
  <si>
    <t>年度计划、任务清单、揭榜挂帅</t>
  </si>
  <si>
    <t>一体机问题现场处理</t>
  </si>
  <si>
    <t>一张图其余科室业务整理</t>
  </si>
  <si>
    <t>人民建议征集使用问题答疑，测试数据删除。</t>
  </si>
  <si>
    <t>补充已提交方案内容，围绕社工部业务（如新就业群体服务、社工证登记等），完成2个不同风格的短视频脚本初稿撰写。</t>
  </si>
  <si>
    <t>1、政务云选型沟通；2、一体化项目需求公示</t>
  </si>
  <si>
    <t>邛崃项目实施</t>
  </si>
  <si>
    <t>日常项目管理工作</t>
  </si>
  <si>
    <t>安心码沟通</t>
  </si>
  <si>
    <t>蓉会通</t>
  </si>
  <si>
    <t>变更需求（法人标注、核查清单、描述修改、会员信息上传）设计+研发评审</t>
  </si>
  <si>
    <t>一体化平台招标演示部门内容</t>
  </si>
  <si>
    <t>采购需求编写，进行内容审核并进行修改等</t>
  </si>
  <si>
    <t>日常答疑维护</t>
  </si>
  <si>
    <t>ai需求确认，项目对接汇报</t>
  </si>
  <si>
    <t>项目日常答疑</t>
  </si>
  <si>
    <t>项目实施履约</t>
  </si>
  <si>
    <t>项目沟通</t>
  </si>
  <si>
    <t>1、项目情况了解，业主服务下线需求推进</t>
  </si>
  <si>
    <t>1、准备阶段汇报材料；2、与城运沟通对接一张图情况；3、一张图进度与分管汇报，得到认可，继续往前推进</t>
  </si>
  <si>
    <t>1、应智慧局要求，前往东部新区沟通蓝绸带项目信息；2、桐子坳社区小程序认证协助；3、数字社区视频审定，补充提供素材；</t>
  </si>
  <si>
    <t>龙泉驿门户年前一共合计三次拜访，配合汇报2次方案；协调项目交付</t>
  </si>
  <si>
    <t>一体化信息平台全年实施方案撰写（包括2场乘云会客厅议程、3个视频方向1个视频分镜脚本、4篇新闻稿件方向、全年规划时间轴及其他内容）</t>
  </si>
  <si>
    <t>一体化平台缺口预算申报、品牌运营方案梳理、政务云需求梳理</t>
  </si>
  <si>
    <t>一体化原型设计调整</t>
  </si>
  <si>
    <t>采购需求修改和沟通</t>
  </si>
  <si>
    <t>人民建议征集问卷配置，日常答疑，并协助输出统计数据</t>
  </si>
  <si>
    <t>优化更新门户资讯内容，日常答疑</t>
  </si>
  <si>
    <t>项目交接汇报</t>
  </si>
  <si>
    <t>项目运营履约</t>
  </si>
  <si>
    <t>大米先生&amp;暖新汇活动门店及优惠信息系统录入</t>
  </si>
  <si>
    <t>暖心食堂</t>
  </si>
  <si>
    <t>1.确定产品布局，完成凝聚服务群众、基层治理及热点信息三个页面方案设计；2.交付业主；3.与蒲江城运确认双方驾驶舱数据来源及呈现形式</t>
  </si>
  <si>
    <t>一张图与城运对接，讨论双方内容和边界</t>
  </si>
  <si>
    <t>社智在线项目验收材料补充</t>
  </si>
  <si>
    <t>研发工作</t>
  </si>
  <si>
    <t>门牌计划推进及兑吧奖励链接搭建</t>
  </si>
  <si>
    <t>款项回收，二次铺排</t>
  </si>
  <si>
    <t>一体化项目立项及实施工作</t>
  </si>
  <si>
    <t>运营工作</t>
  </si>
  <si>
    <t>社区安全课堂运营工作</t>
  </si>
  <si>
    <t>人民建议征集设计汇报，上午市级用户，下午各区（市）县</t>
  </si>
  <si>
    <t>社会工作者页面设计沟通汇报</t>
  </si>
  <si>
    <t>小屏</t>
  </si>
  <si>
    <t>热点信息需求设计调整</t>
  </si>
  <si>
    <t>现场给所有部门及镇街培训</t>
  </si>
  <si>
    <t>一体化采购需求编制，会议确认，招标评分标准沟通修改等</t>
  </si>
  <si>
    <t>研发进度跟进，日常答疑</t>
  </si>
  <si>
    <t>西航港网格智慧监督项目</t>
  </si>
  <si>
    <t>付款材料调整，并跟进</t>
  </si>
  <si>
    <t>项目工作梳理，日常答疑</t>
  </si>
  <si>
    <t>日常答疑，门户数据更新，提供月报</t>
  </si>
  <si>
    <t>立项推进</t>
  </si>
  <si>
    <t>1.梳理剩余部分字段，并且进行产品方案设计，完成两种布局发业主待确认</t>
  </si>
  <si>
    <t>推动完成蒲江一张图基层治理和凝聚服务板块产品设计，内部讨论并发业主确认</t>
  </si>
  <si>
    <t>高新随手拍事件整理及城运流传流程梳理</t>
  </si>
  <si>
    <t>高新随手拍事件流转城运沟通</t>
  </si>
  <si>
    <t>带项目经理沟通项目尾款和交付问题</t>
  </si>
  <si>
    <t>1、内部沟通会议，调整一体化品宣核心思路，就2026年推广目标、节奏与资源需求进行对齐讨论。2、乘云会客厅主题内容调整，计划明年办两次（一体化信息平台发布&amp;年终总结）。3、根据沟通反馈，完成进度表格调整。</t>
  </si>
  <si>
    <t>对三医院合作原有稿件进行标题、导语及结尾的适配性修改。</t>
  </si>
  <si>
    <t>项目沟通对接</t>
  </si>
  <si>
    <t>张成飞</t>
  </si>
  <si>
    <t>数字政府业务部</t>
  </si>
  <si>
    <t>项目实施工作</t>
  </si>
  <si>
    <t>天府新区食物银行需求沟通+核心页面输出</t>
  </si>
  <si>
    <t>一体化平台采购需求编制，项目采购需求编制与现场沟通</t>
  </si>
  <si>
    <t>一体化平台项目沟通，采购沟通、采购需求编制等</t>
  </si>
  <si>
    <t>项目交接</t>
  </si>
  <si>
    <t>双流项目交接，外采付款材料准备，流程发起</t>
  </si>
  <si>
    <t>协助输出系统材料</t>
  </si>
  <si>
    <t>高新随手拍方案撰写输出，结合积分制及红包抽奖制输出两版。</t>
  </si>
  <si>
    <t>【蒲江一张图】场景详细数据字段业主汇报沟通、根据反馈修订；梳理集团可协助对接需求。</t>
  </si>
  <si>
    <t xml:space="preserve">
【热点信息运营】
1、每日热点内容审核校正
2、结合社工热点整理内容专栏。</t>
  </si>
  <si>
    <t>1.确定一张图的时间计划，并根据汇报方案重新调整字段表；2.与业主远程会议，完成三部分字段确认</t>
  </si>
  <si>
    <t>洪志宇</t>
  </si>
  <si>
    <t>管理及实施工作</t>
  </si>
  <si>
    <t>1.配合整理24年初成都市公共服务调查问卷中郫都区各街道填报数据；</t>
  </si>
  <si>
    <t>制定一张图推进时间计划并与相关方确认</t>
  </si>
  <si>
    <t>运营服务，体征体检服务，白皮书编写服务付款资料资料，付款发起</t>
  </si>
  <si>
    <t>暖新汇身份认证体系及身份权益体系桌面调研及研发可行性讨论</t>
  </si>
  <si>
    <t>一体化信息平台：
1、内部沟通会议，了解一体化信息平台2026的推广目标、重点功能、目标对象及核心信息；2、复盘现有宣传材料与渠道，对照新需求评估其适用性；3、基于沟通和复盘，撰写《成都市委社会工作部一体化信息平台2026年品牌推广Roadmap》，重点说明调整思路、优先级建议，并进行再次沟通调整。</t>
  </si>
  <si>
    <t>项目日常管理工作</t>
  </si>
  <si>
    <t>温江区人民建议征集面向镇街、社区、培训</t>
  </si>
  <si>
    <t>项目开发</t>
  </si>
  <si>
    <t>都江堰社区工作者系统培训+梳理培训环境，准备演示数据</t>
  </si>
  <si>
    <t>负责人审核一件事需求调整+一体化AI需求梳理</t>
  </si>
  <si>
    <t>参加沟通会议，编制评分标准、采购需求等</t>
  </si>
  <si>
    <t>一张图及ai报告产品设计汇报，人民建议征集答疑及问卷配置</t>
  </si>
  <si>
    <t>生活地图外采流程发起，日常答疑</t>
  </si>
  <si>
    <t>测评问题内部评审，日常答疑</t>
  </si>
  <si>
    <t>新享e家小程序优化内容汇报</t>
  </si>
  <si>
    <t>【蒲江一张图】蒲江一张图实施，梳理场景数据字段；汇报业主数据方案与推进计划</t>
  </si>
  <si>
    <t>【热点信息运营】
1、每日热点内容审核校正
2、结合社工热点整理内容专栏。</t>
  </si>
  <si>
    <t>设计工作</t>
  </si>
  <si>
    <t>1.响应李娜老师关于人民建议征集的问题；2.配合处理公共服务调查问卷的配置；</t>
  </si>
  <si>
    <t>1.现场汇报方案，演示原型，并与业务老师确定新版的字段梳理方式；2.明确下一步工作计划；3.确定社工与城运驾驶舱的关联</t>
  </si>
  <si>
    <t>1、小程序问题处理跟进；2、付款计划整理；3、事件处理，资讯更新等日常运营工作</t>
  </si>
  <si>
    <t>蒲江一张图现场沟通，确定先以三科业务切入，编写城运对接示意图</t>
  </si>
  <si>
    <t>高新区随手拍事件流转及奖励机制沟通</t>
  </si>
  <si>
    <t>和项目经理进行业务汇报</t>
  </si>
  <si>
    <t>稿件撰写1：了解“三医院新就业群体快速就诊服务”的具体功能、使用流程、服务对象等信息，沟通医院老师，了解对方需求稿件风格；撰写联合宣传推文并提交OA；
稿件撰写2:阅读人民日报“基层监督创新””原文，提炼“暖新汇”相关内容。以市民云视角重新编窜宣传稿件提交审核，并根据修改意见重新调整撰写2稿，提交OA发稿申请。</t>
  </si>
  <si>
    <t>幸福盒子用户改版沟通</t>
  </si>
  <si>
    <t>给商协会罗处汇报负责人审核一件事建设情况</t>
  </si>
  <si>
    <t>采购内容梳理，评分标准编制及沟通等</t>
  </si>
  <si>
    <t>彭州事务阳光公开优化内容汇报、日常答疑</t>
  </si>
  <si>
    <t>人民建议征集配置</t>
  </si>
  <si>
    <t>协助进行问卷配置</t>
  </si>
  <si>
    <t>【热点信息运营】
1、每日内外渠道热点内容监控梳理、信息撰写及配置；
2、结合社工热点整理内容专栏。
3、运营工作机制流程梳理，运营人员操作及内容培训，梳理复用资料交接，指导使用。</t>
  </si>
  <si>
    <t>1.郫都商协会方案讨论，提供政策材料作证，提出修改建议，推动汇报前的确认；2.配合提供公共服务问卷所需问卷原文</t>
  </si>
  <si>
    <t>管理及实施</t>
  </si>
  <si>
    <t>启动验收材料编写</t>
  </si>
  <si>
    <t>1、运营服务验收用印;2、数据更新，配合演示;3、AI演示环境准备</t>
  </si>
  <si>
    <t>高新区随手拍事件沟通</t>
  </si>
  <si>
    <t>一元就医UI沟通、研发评审及产品验收</t>
  </si>
  <si>
    <t>26年工作铺排，商务沟通</t>
  </si>
  <si>
    <t>外部对接</t>
  </si>
  <si>
    <t>省委社会工作部热点信息需求沟通+页面设计+PPT调整输出+川观现场汇报+省领导设计汇报</t>
  </si>
  <si>
    <t>都江堰P1阶段产品现场验证+远程培训</t>
  </si>
  <si>
    <t>一体化平台资料整合、需求内容梳理等</t>
  </si>
  <si>
    <t>新都小程序改版调整内容汇报，新就业问题协助处理</t>
  </si>
  <si>
    <t>协助测评单位进行系统测评，并对问题进行技术评审</t>
  </si>
  <si>
    <t>新都区新就业群体友好服务场景发布仪式活动服务项目</t>
  </si>
  <si>
    <t>项目验收材料准备及跟进</t>
  </si>
  <si>
    <t>系统运营，人民建议征集配置</t>
  </si>
  <si>
    <t>【热点信息运营】
1、每日内外渠道热点内容监控梳理、信息撰写及配置；
2、热点月报数据整理及月报内容撰写；
3、结合社工热点整理内容专栏。</t>
  </si>
  <si>
    <t>会客厅、人工智能、招采</t>
  </si>
  <si>
    <t>完成行业协会商会一期最终版本的上线验收，保障基本业务流程闭环</t>
  </si>
  <si>
    <t>1、虎山社区积分使用答疑;2、蓝绸带运营验收材料检查，发起用印;3、蓝绸带小程序账号问题处理，申诉解决:</t>
  </si>
  <si>
    <t>首次扫码卡顿问题跟进处理</t>
  </si>
  <si>
    <t>新就业三医院快速就医一张图说明文稿及修改，沟通UI及确认最终稿</t>
  </si>
  <si>
    <t>新就业食品安全 随手拍等事项沟通</t>
  </si>
  <si>
    <t>更新暖新地图点位，把暖新商家tap改成常用功能标签，以便骑手按照提供功能快速找到对应暖新商家和驿站</t>
  </si>
  <si>
    <t>郫都社区工作者继续教育页面设计</t>
  </si>
  <si>
    <t>共用能力</t>
  </si>
  <si>
    <t>热点信息调整+AI工具设计+小屏页面梳理</t>
  </si>
  <si>
    <t>参加沟通会议</t>
  </si>
  <si>
    <t>一体化采购需求梳理和沟通</t>
  </si>
  <si>
    <t>商机日志明细汇总（超管）V2</t>
  </si>
  <si>
    <t>数据源：日志管理-申请V2,商机管理-台账V2  执行时间：2026-04-01 15:33:01</t>
  </si>
  <si>
    <t>商机名称</t>
  </si>
  <si>
    <t>商机编号</t>
  </si>
  <si>
    <t>销售经理</t>
  </si>
  <si>
    <t>销售归属部门</t>
  </si>
  <si>
    <t>任务类型</t>
  </si>
  <si>
    <t>熊偲吉</t>
  </si>
  <si>
    <t>其他</t>
  </si>
  <si>
    <t>需求沟通，客户维系</t>
  </si>
  <si>
    <t>内部配合及其他</t>
  </si>
  <si>
    <t>协助项目上会，需求沟通</t>
  </si>
  <si>
    <t>姚超</t>
  </si>
  <si>
    <t>前期沟通</t>
  </si>
  <si>
    <t>1、发起上线申请；2、更新居民端视频脚本；3、安测协助；</t>
  </si>
  <si>
    <t>需求调研拜访</t>
  </si>
  <si>
    <t>成本评估</t>
  </si>
  <si>
    <t>前往崇州移动介绍产品，解答高新移动技术疑问</t>
  </si>
  <si>
    <t>汇报资料编制</t>
  </si>
  <si>
    <t>集团纪检监察系统建设方案PPT材料编制</t>
  </si>
  <si>
    <t>设计方案编制</t>
  </si>
  <si>
    <t>按照专家意见修改详细设计方案（第二次）</t>
  </si>
  <si>
    <t>1、小程序集约工时评估</t>
  </si>
  <si>
    <t>谢伟材</t>
  </si>
  <si>
    <t>商机沟通</t>
  </si>
  <si>
    <t>商务沟通</t>
  </si>
  <si>
    <t>协助上会材料</t>
  </si>
  <si>
    <t>客户拜访，维护关系</t>
  </si>
  <si>
    <t>沟通需求，现场调研</t>
  </si>
  <si>
    <t>协助售前进行需求调研拜访，成本评估</t>
  </si>
  <si>
    <t>纪检项目需求沟通+汇报+第一个版本原型设计</t>
  </si>
  <si>
    <t>1、按照功能清单和开发语言信息，评估政务应用国产化改造费用。
2、外勤半天（与政务应用开发厂商开会）</t>
  </si>
  <si>
    <t>按照专家意见修改详细设计方案（第一次）</t>
  </si>
  <si>
    <t>1、参加集团纪检监察项目设计方案汇报会
2、会议要点梳理和设计方案学习</t>
  </si>
  <si>
    <t>2026年项目沟通</t>
  </si>
  <si>
    <t>协助需求评审，需求调研</t>
  </si>
  <si>
    <t>王郑</t>
  </si>
  <si>
    <t>创新业务部</t>
  </si>
  <si>
    <t>装修活动上线沟通+设计沟通+城市微光3.3版本验收</t>
  </si>
  <si>
    <t>1、制作报价清单并组织项目部，按照政务应用程序往期方案和操作手册，评估建设费用；
2、向客户汇报项目建设费用（外勤）；
3、因费用过高需要联合政务应用开发厂商做详细评估（前期资料准备）。</t>
  </si>
  <si>
    <t>客户维护，</t>
  </si>
  <si>
    <t>客户维护</t>
  </si>
  <si>
    <t>项目需求沟通</t>
  </si>
  <si>
    <t>1、前往崇州沟通驻场人员工作交接事宜；2、修改项目变更说明书，沟通项目变更事宜，按陈部长要求再次修改；3、准备项目验收材料</t>
  </si>
  <si>
    <t>装修资金监管活动+贴息产品会议</t>
  </si>
  <si>
    <t>1、初版方案编制；
2、与销售一同向客户汇报初版方案（外勤）。</t>
  </si>
  <si>
    <t>调研，客户关系维护</t>
  </si>
  <si>
    <t>1、策划参加人民建议征集推广活动，新闻稿编写；2、项目交接</t>
  </si>
  <si>
    <t>崇小新1月数据月报及修改</t>
  </si>
  <si>
    <t>工作交接完成，新销售接手</t>
  </si>
  <si>
    <t>黄金需求沟通+页面设计+技术对接沟通</t>
  </si>
  <si>
    <t>保险功能测试上线+页面配置</t>
  </si>
  <si>
    <t>许鑫</t>
  </si>
  <si>
    <t>招投标文件制作</t>
  </si>
  <si>
    <t>撰写投标文件商务部分</t>
  </si>
  <si>
    <t>公众号文章展示对接</t>
  </si>
  <si>
    <t>随手报事件2.0版本完成测试及版本审核。等待第二季度线上发版。</t>
  </si>
  <si>
    <t>赵森</t>
  </si>
  <si>
    <t>5个区县移动拜访</t>
  </si>
  <si>
    <t>崇州崇小新一周年发布会，都江堰拜访客户，金牛城运沟通项目变更</t>
  </si>
  <si>
    <t>1、与老项目经理前往现场与客户进行工作交接；2、参加崇小新2、0发布会；3、启动项目交接，了解项目情况；4、编写项目变更说明书；5、推动兑吧充值，发起付款；6、人民建议征集推广活动筹备，沟通活动内容；</t>
  </si>
  <si>
    <t>1、崇小新发布会演示内容准备2、参加崇小新发布会</t>
  </si>
  <si>
    <t>1、崇小新2.0发布会演示内容准备2、崇小新2.0发布会活动</t>
  </si>
  <si>
    <t>工作交接，客户转接，情况沟通</t>
  </si>
  <si>
    <t>前后台原型设计+研发评审+UI跟进+参加人保会议</t>
  </si>
  <si>
    <t>投标文件制作</t>
  </si>
  <si>
    <t>需求方案编制</t>
  </si>
  <si>
    <t>按照专家意见，修改需求方案。</t>
  </si>
  <si>
    <t>锦彩生活运维项目：
1、按照专家意见修改方案（第三次）</t>
  </si>
  <si>
    <t>崇小新定制需求测试</t>
  </si>
  <si>
    <t>何思杰</t>
  </si>
  <si>
    <t xml:space="preserve">
新就业兑吧前后端联调测试</t>
  </si>
  <si>
    <t>崇州新就业banner、新增暖新地图icon</t>
  </si>
  <si>
    <t>李骁航</t>
  </si>
  <si>
    <t>随手报事件2.0版本小程序端和B端均完成接口对接和业务自测，等待测试。</t>
  </si>
  <si>
    <t>需求评审</t>
  </si>
  <si>
    <t>温江培训，汇报，邛崃客户拜访，大邑客户拜访</t>
  </si>
  <si>
    <t>1、崇小新 周聘在线板块民政沟通答疑</t>
  </si>
  <si>
    <t>2、崇州发布会随手拍2.0ppt输出及更改</t>
  </si>
  <si>
    <t>前往到朱主任处汇报；沟通业务可行性；准备可行性方案</t>
  </si>
  <si>
    <t>前往东部新区，参加东部新区社工一体化项目需求方案评审会</t>
  </si>
  <si>
    <t>东部新区专家评审ppt材料编制，与三方（业主、吉利、电信）进行沟通。</t>
  </si>
  <si>
    <t>熊鹏</t>
  </si>
  <si>
    <t>第一个版本回归测试</t>
  </si>
  <si>
    <t>王明珠</t>
  </si>
  <si>
    <t>1、事件上报对吧抽奖对接
2、文本转语音接口开发</t>
  </si>
  <si>
    <t>1、崇州民意征集审核列表增加字段</t>
  </si>
  <si>
    <t>冯凡</t>
  </si>
  <si>
    <t>完成崇州新就业项目随手拍2.0改版需求评审，并开始改造；</t>
  </si>
  <si>
    <t>26年规划沟通及预算争取</t>
  </si>
  <si>
    <t>简阳汇报，崇州项目变更沟通</t>
  </si>
  <si>
    <t>1、崇小新2.0发布研发内容产品设计、新内容搭建及新点位录入2、抽奖兑吧配置3、研发开发答复</t>
  </si>
  <si>
    <t>业务推进，两次会议</t>
  </si>
  <si>
    <t>东部新区E管家需求沟通+E管家产品交接+设计调整+现场需求汇报</t>
  </si>
  <si>
    <t>金融通保险P1版本首页设计+其他页面调整+与领导\运营同步设计内容</t>
  </si>
  <si>
    <t>武俊汝</t>
  </si>
  <si>
    <t>编写汇报材料</t>
  </si>
  <si>
    <t>锦彩生活运维项目：
1、按照专家意见修改方案（第二次）</t>
  </si>
  <si>
    <t>1、中枢的外采清理，该支付的开始走OA流程；
2、医保结项流程及评价，清理外采；
3、门户结项流程及评价，清理外采；
4、中枢结项流程及评价；</t>
  </si>
  <si>
    <t>：根据方案预审要求完成对设计方案功能描述、项目概算（总价不变的情况下细化报价明细）修改，并与吉利学院、业主方进行确认沟通。</t>
  </si>
  <si>
    <t xml:space="preserve">
崇州事件和抽奖功能开发对接</t>
  </si>
  <si>
    <t>蒲江一张图沟通，金牛铺排</t>
  </si>
  <si>
    <t>崇州新积分规则业主沟通、产品设计、ui沟通及研发评审</t>
  </si>
  <si>
    <t>三张清单沟通，准备答辩</t>
  </si>
  <si>
    <t>拜访成都川观新闻，沟通后期工作推进对接</t>
  </si>
  <si>
    <t>汇报PPT编写，场景清单编写等</t>
  </si>
  <si>
    <t>锦彩生活二期项目：
1、评审汇报前优化锦彩生活项目PPT；
2、在锦彩生活项目评审现场汇报项目情况；
3、按照专家意见修改方案。</t>
  </si>
  <si>
    <t>1、E管家，新需求确认，修订设计，并评估工时；
2、E管家账号导出，并核对，关闭已经不在人员账号；
3、人民建议征集功能优化沟通；</t>
  </si>
  <si>
    <t>1、崇州民意征集资讯接口（案例功能）对接</t>
  </si>
  <si>
    <t>东部新区新就业群体开放场所二维码海报功能；</t>
  </si>
  <si>
    <t>TB12024054</t>
  </si>
  <si>
    <t>需求公示沟通，采购相关工作准备</t>
  </si>
  <si>
    <t>客户拜访，崇小新一周年活动筹备</t>
  </si>
  <si>
    <t>研讨输出三张清单</t>
  </si>
  <si>
    <t>拜访川观，输出方案，沟通细节</t>
  </si>
  <si>
    <t>装修后续工作梳理+首页设计调整+UI跟进</t>
  </si>
  <si>
    <t>锦彩生活运维项目：
1、制作锦彩生活项目评审汇报PPT</t>
  </si>
  <si>
    <t>总工时</t>
  </si>
  <si>
    <t>平均工时金额</t>
  </si>
  <si>
    <t>OP_DIV</t>
  </si>
  <si>
    <t>2</t>
  </si>
  <si>
    <t>部门人力成本小计</t>
  </si>
  <si>
    <t>外部门投入本部门事务成本小计</t>
  </si>
  <si>
    <t>6、</t>
  </si>
  <si>
    <t>其中</t>
  </si>
  <si>
    <t>数据源：日志管理-申请V2,项目管理-台账V2  执行时间：2026-04-01 16:29:26</t>
  </si>
  <si>
    <t>1、导出郫都公共服务问卷数据</t>
  </si>
  <si>
    <t>1、完成协会档案相关功能</t>
  </si>
  <si>
    <t>日常运维</t>
  </si>
  <si>
    <t>服务器维护，技术支持，周报编写</t>
  </si>
  <si>
    <t>史晓凡</t>
  </si>
  <si>
    <t>正式环境部署</t>
  </si>
  <si>
    <t>验收文档编写</t>
  </si>
  <si>
    <t>李成</t>
  </si>
  <si>
    <t>一体化平台-蓉会通-负责人审核一件事测试</t>
  </si>
  <si>
    <t>在线教育需求评审以及工时评估</t>
  </si>
  <si>
    <t>舒宇豪</t>
  </si>
  <si>
    <t>代码熟悉</t>
  </si>
  <si>
    <t xml:space="preserve">
1、负责人审核一件事统计功能编写
2、负责人审核一件事AI功能编写</t>
  </si>
  <si>
    <t>扫码自动提交功能联调测试</t>
  </si>
  <si>
    <t>验收文档书写</t>
  </si>
  <si>
    <t>表单bug解决，如不能导入、导入后数据看不到等</t>
  </si>
  <si>
    <t>ai报告前端开发， 发布生产</t>
  </si>
  <si>
    <t>王鑫</t>
  </si>
  <si>
    <t>投标相关项目准备</t>
  </si>
  <si>
    <t>原型评审和工时评估</t>
  </si>
  <si>
    <t>陶显东</t>
  </si>
  <si>
    <t>政策研究系统专班管理，行业协会管理系统原型，社区工作者薪酬管理系统，前端静态交互功能演示用</t>
  </si>
  <si>
    <t>专职工作者</t>
  </si>
  <si>
    <t>计算薪酬接口超时优化</t>
  </si>
  <si>
    <t>黄鑫</t>
  </si>
  <si>
    <t>ai数据报告功能开发并上线</t>
  </si>
  <si>
    <t>档案同步 测试bug修复</t>
  </si>
  <si>
    <t>邓浩</t>
  </si>
  <si>
    <t>专班系统开发</t>
  </si>
  <si>
    <t>蒲江门户新增入口icon</t>
  </si>
  <si>
    <t>b端数据分析板块UI设计</t>
  </si>
  <si>
    <t>1、负责人审核一件事统计功能编写
2、负责人审核一件事AI功能编写</t>
  </si>
  <si>
    <t>温江亲邻协商需求规格说明书</t>
  </si>
  <si>
    <t>杨苹</t>
  </si>
  <si>
    <t>1、开发协会档案管理功能2、解决测试bug</t>
  </si>
  <si>
    <t>一体化招标文件协助（安全部分）</t>
  </si>
  <si>
    <t>伍磊</t>
  </si>
  <si>
    <t>金牛12345 增加ai统计功能</t>
  </si>
  <si>
    <t>ai数据报告功能开发，调试提示词和ai模型</t>
  </si>
  <si>
    <t>一体化需求同步至档案</t>
  </si>
  <si>
    <t>部门数据处理导入</t>
  </si>
  <si>
    <t xml:space="preserve">评审
</t>
  </si>
  <si>
    <t>访客功能开发对接</t>
  </si>
  <si>
    <t>扫码自动提交，认证流程优化</t>
  </si>
  <si>
    <t>开发工作</t>
  </si>
  <si>
    <t>对接兑吧抽奖功能发布生产并验证</t>
  </si>
  <si>
    <t>开发支撑</t>
  </si>
  <si>
    <t>新都小程序迁移成本的评估</t>
  </si>
  <si>
    <t>行业协会商会-数据分析看板接口对接，完成行业商协会基本情况统计模块和负责人审核一件事数据分析模块的接口对接；</t>
  </si>
  <si>
    <t>1. 上线郫都区随手报门牌觉醒抽奖活动；2.扫码时平台校验通过的过期身份码无需再刷脸；3. 高新区严管小区楼栋单元户号非必填</t>
  </si>
  <si>
    <t>测试环境业务部署，代码更新，配置文件修改，日志导出</t>
  </si>
  <si>
    <t>新增需求开发，提测</t>
  </si>
  <si>
    <t>郫都门牌觉醒测试</t>
  </si>
  <si>
    <t>1、蓉会通-负责人审核一件事V2版本统计相关功能开发</t>
  </si>
  <si>
    <t>活动物料设计</t>
  </si>
  <si>
    <t>龚一钧</t>
  </si>
  <si>
    <t>纪检监督</t>
  </si>
  <si>
    <t>评估</t>
  </si>
  <si>
    <t>迁移成本评估</t>
  </si>
  <si>
    <t>对接兑吧功能测试修改bug</t>
  </si>
  <si>
    <t>访客非必填功能修改</t>
  </si>
  <si>
    <t>1、开发产品新提出的需求，解决测试bug</t>
  </si>
  <si>
    <t>郫都区门派觉醒计划对接兑吧安测</t>
  </si>
  <si>
    <t>热点信息增加AI统计需求的评审、前端技术评估等。</t>
  </si>
  <si>
    <t>ai数据报告需求评审，并完成相关数据接口的梳理</t>
  </si>
  <si>
    <t>行业协会商会-数据分析看板： 完成负责人审核一件事数据分析模块页面编写，补充协会风险预警列表弹窗以及预警详情弹窗；补充负责人风险预警列表弹窗及预警详情弹窗，准备数据接口对接；</t>
  </si>
  <si>
    <t>服务器维护，技术支持，周报月报编写</t>
  </si>
  <si>
    <t>统一推送平台短信渠道改造</t>
  </si>
  <si>
    <t>负责人信息填报开发</t>
  </si>
  <si>
    <t>1、蓉会通V2版本需求更新评审
2、短信平台切换
3、蓉会通V2版本需求开发</t>
  </si>
  <si>
    <t>简阳项目交接工作</t>
  </si>
  <si>
    <t>岳翰</t>
  </si>
  <si>
    <t>1、完成负责人审核一件事负责人信息填报功能</t>
  </si>
  <si>
    <t>审核一件事评估</t>
  </si>
  <si>
    <t>郫都区新就业对接运动功能</t>
  </si>
  <si>
    <t>市级人民建议征集评估</t>
  </si>
  <si>
    <t>行业协会商会-数据分析看板需求评审、创建页面以及菜单配置。按原型设计编写行业商协会基本情况统计面板，协会分布情况以及负责人分布情况的图表；</t>
  </si>
  <si>
    <t>服务器维护，技术支持，周报填写</t>
  </si>
  <si>
    <t>短信平台切换技术沟通，实施方案确定</t>
  </si>
  <si>
    <t>社区提案小程序跳转逻辑调整</t>
  </si>
  <si>
    <t>软件开发</t>
  </si>
  <si>
    <t>项目P2需求测试</t>
  </si>
  <si>
    <t>负责人审核确认团体信息模块开发</t>
  </si>
  <si>
    <t>负责人审核一件事功能开发、热点信息技术研讨</t>
  </si>
  <si>
    <t>集合页设计</t>
  </si>
  <si>
    <t>淘宝闪购标签bug处理</t>
  </si>
  <si>
    <t>初步熟悉功能清单等待评审</t>
  </si>
  <si>
    <t>评审评估</t>
  </si>
  <si>
    <t>1、完成负责人审核一件事确认团体信息功能</t>
  </si>
  <si>
    <t>清波社区主鲤人项目</t>
  </si>
  <si>
    <t>新增活动推荐入口</t>
  </si>
  <si>
    <t>项目管理相关</t>
  </si>
  <si>
    <t>历史资讯补发功能开发</t>
  </si>
  <si>
    <t>负责人审核一件事-负责人信息填报需求分工分配以及表单校验功能bug修复;</t>
  </si>
  <si>
    <t>第二阶段需求梳理</t>
  </si>
  <si>
    <t>负责人审核开发</t>
  </si>
  <si>
    <t>工银对接</t>
  </si>
  <si>
    <t>邛崃中心医院h5入驻对接</t>
  </si>
  <si>
    <t>需求确认，研发，bug修改</t>
  </si>
  <si>
    <t>需求确认，任务分配，工时重评估</t>
  </si>
  <si>
    <t>蒲江大屏设计</t>
  </si>
  <si>
    <t>双流项目工作交接</t>
  </si>
  <si>
    <t>公众号文章转发</t>
  </si>
  <si>
    <t>1、开发审核人一件事部分功能</t>
  </si>
  <si>
    <t>一体化平台项目代码熟悉及环境安装，负责人审核一件事需求开发；</t>
  </si>
  <si>
    <t>配合上线暖新食堂模块；</t>
  </si>
  <si>
    <t>项目管理相关工作</t>
  </si>
  <si>
    <t>接口文档疑问与需求梳理</t>
  </si>
  <si>
    <t>功能bug修复</t>
  </si>
  <si>
    <t>服务器维护，技术支持，周报和月报编写</t>
  </si>
  <si>
    <t>工作交接、协助汇报</t>
  </si>
  <si>
    <t>闵婷</t>
  </si>
  <si>
    <t>权限系统彭州街道用户导出</t>
  </si>
  <si>
    <t>挂号就医授权对接技术指导</t>
  </si>
  <si>
    <t>第一阶段需求梳理</t>
  </si>
  <si>
    <t>负责人审核开发代码熟悉运行</t>
  </si>
  <si>
    <t>bug修改以及项目交接</t>
  </si>
  <si>
    <t>1、负责人审核一件事需求评审
2、一体化工作交接
3、一体化负责人审核一件事工时评估
4、一体化负责人审核一件事技术调研</t>
  </si>
  <si>
    <t>简阳小程序产品资料整理</t>
  </si>
  <si>
    <t>1.崇小新一周年发布会现场执行；2.业主侧项目交接情况汇报；3.同心社区活动对接；4.项目交接</t>
  </si>
  <si>
    <t xml:space="preserve">
淘宝闪购生产发布验证</t>
  </si>
  <si>
    <t xml:space="preserve">
新需求评审，授权bug排查修改</t>
  </si>
  <si>
    <t>1、熟悉一体化代码2、完成审核一件事需求评审、确认团体信息</t>
  </si>
  <si>
    <t>崇小新定制需求安测</t>
  </si>
  <si>
    <t>协助排查一体化平台B端和小程序端问题接口所在页面；和产品需求评审负责人审核一件事改动需求，熟悉相关业务流程以及项目代码。</t>
  </si>
  <si>
    <t>项目管理工作</t>
  </si>
  <si>
    <t>工作交接</t>
  </si>
  <si>
    <t>项目管理及验收工作</t>
  </si>
  <si>
    <t>夏云宏</t>
  </si>
  <si>
    <t>AI智能问答服务生产发布验证</t>
  </si>
  <si>
    <t>资讯列表定制版开发完成、提测</t>
  </si>
  <si>
    <t>崇州AI生成建议功能和语音输入功能测试</t>
  </si>
  <si>
    <t>温江数据看板测试</t>
  </si>
  <si>
    <t>返回bug修复， 打开地图修复</t>
  </si>
  <si>
    <t>一体化平台剩余bug修改</t>
  </si>
  <si>
    <t>需求确认，研发，测试bug修改</t>
  </si>
  <si>
    <t>1、V2版本开发跟进0.5天；2、V2版本产品验收1天，3、V2版本操作手册2.5天</t>
  </si>
  <si>
    <t>双流门户内容根据业主要求进行修改。</t>
  </si>
  <si>
    <t>简阳消防安全活动活动执行，小程序原型业主沟通。</t>
  </si>
  <si>
    <t>1.崇州沟通对接崇小新与人社局服务事项；2.跟进沟通崇小新一周年活动筹备情况；3.完成金控人力付款和备案，沟通驻场取消情况；4.输出崇州民意通日常征集场景变更单；5.崇州项目交接</t>
  </si>
  <si>
    <t>1.门户巡检；2.项目交接</t>
  </si>
  <si>
    <t>bug处理
ai评估</t>
  </si>
  <si>
    <t>1、对接工行缴费接口</t>
  </si>
  <si>
    <t>1、郫都区幸福十大工程数据查询权限问题解决、数据导出需求</t>
  </si>
  <si>
    <t>大邑AI助手UI设计</t>
  </si>
  <si>
    <t>AI助手UI设计</t>
  </si>
  <si>
    <t>暖新汇一元就医添加页面埋点；</t>
  </si>
  <si>
    <t>定制化需求开发：前端开发（1.全市功能的权限配置；2.薪酬波动提醒人配置）</t>
  </si>
  <si>
    <t>定制化资讯列表页开发</t>
  </si>
  <si>
    <t>自测和修改测试环境bug</t>
  </si>
  <si>
    <t>功能开发、自测，并上线测试环境</t>
  </si>
  <si>
    <t>社区工作者</t>
  </si>
  <si>
    <t>项目实施及管理工作</t>
  </si>
  <si>
    <t>项目需求技术支撑，工作进度推进</t>
  </si>
  <si>
    <t>一体化bug修改</t>
  </si>
  <si>
    <t>需求确认，开发</t>
  </si>
  <si>
    <t>1、崇州社工部外出沟通，产品演示：1天；2、根据需求进行原型修改，开发沟通1天；3、操作手册编写1天</t>
  </si>
  <si>
    <t>简阳小程序管理端设计</t>
  </si>
  <si>
    <t>崇州人民建议征集海报设计</t>
  </si>
  <si>
    <t>温江亲邻茶铺海报设计</t>
  </si>
  <si>
    <t>2025年都江堰市社会工作大讲堂运维项目</t>
  </si>
  <si>
    <t>实施工作</t>
  </si>
  <si>
    <t>反诈、禁毒展架设计</t>
  </si>
  <si>
    <t>简阳消防安全知识活动采购流程，前期准备工作</t>
  </si>
  <si>
    <t>根据业主需求，修改内容沟通</t>
  </si>
  <si>
    <t>1.跟进崇小新一周年活动，确认场地、上线配置驿站2.0要求，沟通门牌更新计划需求。输出成果数据文本安排动画视频制作，归纳确认3类奖品物料清单；2.崇州人力驻场12月付款；3.跟进处理崇州门户资讯无法同步的问题。</t>
  </si>
  <si>
    <t>1.确认大邑AI公司产品功能和排期；2.门户巡检、资讯更新</t>
  </si>
  <si>
    <t>数据共享接口配合对接</t>
  </si>
  <si>
    <t>1、导出暖心驿站清单</t>
  </si>
  <si>
    <t>简阳政务动态UI设计</t>
  </si>
  <si>
    <t>定制化需求：前端开发（薪酬波动相关开发，薪酬模板的薪酬波动推送，定制化功能的权限控制等）</t>
  </si>
  <si>
    <t>需求开发</t>
  </si>
  <si>
    <t>功能开发、自测</t>
  </si>
  <si>
    <t>需求沟通</t>
  </si>
  <si>
    <t>社区工作者系统</t>
  </si>
  <si>
    <t>清波社区AI智能问答助手小程序初始化</t>
  </si>
  <si>
    <t>民意见征集，测试中，一轮测试进行中。</t>
  </si>
  <si>
    <t>供需平台活动开发及bug修改</t>
  </si>
  <si>
    <t>一体化档案管理测试</t>
  </si>
  <si>
    <t>一体化bug修稿</t>
  </si>
  <si>
    <t>需求开发和上线</t>
  </si>
  <si>
    <t>1、崇州人民建议开发跟进0.5天；2、产品验收1天；3、操作手册0.5天；</t>
  </si>
  <si>
    <t>简阳小程序原型设计</t>
  </si>
  <si>
    <t>社区工作者系统1期跟进</t>
  </si>
  <si>
    <t>双流验收材料规整</t>
  </si>
  <si>
    <t>都江堰1月活动配置执行</t>
  </si>
  <si>
    <t>1.跟进崇小新一周年，确认场地、梳理并上线快速筛选驿站需求、跟进成果数据内容及预防知识内容，确认视频制作排期；2.崇州运营服务采购付款线上流程；3.跟进崇州民意通产品项目排期和研发进度；</t>
  </si>
  <si>
    <t>1.大邑门户结项数据统计；2.门户巡检工作</t>
  </si>
  <si>
    <t>1、移动端看板发版 生产验证
2、淘宝闪够对接</t>
  </si>
  <si>
    <t>数据导出，人员列表增加社区筛选</t>
  </si>
  <si>
    <t>崇州新就业UI调整</t>
  </si>
  <si>
    <t>AI对话及动效UI调整</t>
  </si>
  <si>
    <t xml:space="preserve">网约车司机资格证审核+暖新汇市级看板相关功能安测
</t>
  </si>
  <si>
    <t>1. 市级暖新汇数据看板数据调整以及发版; 2. 市级暖新汇新就业群体"快速就医"引导页开发;3. 修复扫新就业场所码跳转一体化平台登录后业务场景丢失情况;</t>
  </si>
  <si>
    <t>定制化需求：前端开发工作(薪酬波动)</t>
  </si>
  <si>
    <t>由于大模型变动，替换新接口， 兼容入参与返回值等</t>
  </si>
  <si>
    <t>功能开发</t>
  </si>
  <si>
    <t>服务器维护，技术支持，月报和周报编写</t>
  </si>
  <si>
    <t>需求沟通、产品沟通</t>
  </si>
  <si>
    <t>清波小鲤AI服务小程序跳转支持</t>
  </si>
  <si>
    <t>第一阶段需求测试</t>
  </si>
  <si>
    <t>测试 bug修复</t>
  </si>
  <si>
    <t>供需平台bug修改</t>
  </si>
  <si>
    <t>一体化平台bug修改</t>
  </si>
  <si>
    <t>1、崇州人民建议开发跟进0.5天；2、操作手册V1版本1.5天；</t>
  </si>
  <si>
    <t>简阳小程序原型设计。</t>
  </si>
  <si>
    <t>反诈知识答题活动物料设计</t>
  </si>
  <si>
    <t>三医院长图设计</t>
  </si>
  <si>
    <t>双流项目验收资料整理，项目文件整理，业主沟通</t>
  </si>
  <si>
    <t>1.跟进崇小新一周年活动筹备情况、确认崇小新2.0版本可快速上线功能项、收集按功能筛选驿站需求、确认环节细节，启动上线筹备工作；2.崇州运营服务付款线下签批、付款流程；3.确认崇州民意通需求清单、协调输出原型、跟进崇州民意通产品项目排期和研发答疑；4.收集崇小新2.0版本迭代需求并交付产品评审</t>
  </si>
  <si>
    <t>1.大邑活动服务尾款线下签批、付款流程；2.大邑门户巡检</t>
  </si>
  <si>
    <t>新都文档输出</t>
  </si>
  <si>
    <t>1、淘宝闪购对接
2、移动端看板bug处理、排行榜算法优化</t>
  </si>
  <si>
    <t>清波社区UI调整，小鲤形象动效制作</t>
  </si>
  <si>
    <t>新都新就业群体积分项目bug排查和修复;</t>
  </si>
  <si>
    <t>郫都区新就业群体首页通知跳转优化;</t>
  </si>
  <si>
    <t>新就业群体B端扫码热力图优化渲染效果，增加下钻功能，社区级别显示小区</t>
  </si>
  <si>
    <t>aigc-c: C端AI问答项目增加清波小鲤定制化主题，修复bug等</t>
  </si>
  <si>
    <t>邛崃资讯B端：修复栏目封面图路径错误的bug；新增功能：资讯附件可支持上传图片</t>
  </si>
  <si>
    <t>都江堰社区工作者定制化需求：前端开发（定制化配置的前期设计与实现）</t>
  </si>
  <si>
    <t>修改负责人审核一件事中政治面貌下拉选项，修改行业管理部门label</t>
  </si>
  <si>
    <t>都江堰社区工作者：入职管理，档案管理添加培训记录静态页面，快速调档静态页面</t>
  </si>
  <si>
    <t>需求开发与上线</t>
  </si>
  <si>
    <t>数据源：日志管理-申请V2,项目管理-台账V2  执行时间：2026-04-08 15:46:44</t>
  </si>
  <si>
    <t>王佳思</t>
  </si>
  <si>
    <t>吴玥璇</t>
  </si>
  <si>
    <t>东部新区医保智能项目</t>
  </si>
  <si>
    <t>TP43102025037</t>
  </si>
  <si>
    <t>数据源：日志管理-申请V2,商机管理-台账V2  执行时间：2026-04-08 15:45:46</t>
  </si>
  <si>
    <t>天府新区智慧场景</t>
  </si>
  <si>
    <t>TB202602002</t>
  </si>
</sst>
</file>

<file path=xl/styles.xml><?xml version="1.0" encoding="utf-8"?>
<styleSheet xmlns="http://schemas.openxmlformats.org/spreadsheetml/2006/main">
  <numFmts count="1">
    <numFmt numFmtId="300" formatCode="yyyy/m/d;@"/>
  </numFmts>
  <fonts count="12">
    <font>
      <name val="Microsoft YaHei"/>
    </font>
    <font>
      <name val="等线"/>
      <charset val="134"/>
      <color rgb="FF175CEB"/>
      <sz val="10"/>
      <u/>
      <scheme val="minor"/>
    </font>
    <font>
      <name val="Segoe UI Symbol"/>
      <family val="2"/>
      <color rgb="FF000000"/>
      <sz val="10"/>
    </font>
    <font>
      <name val="Microsoft YaHei"/>
    </font>
    <font>
      <name val="Microsoft YaHei"/>
      <sz val="11"/>
    </font>
    <font>
      <name val="Microsoft YaHei"/>
      <sz val="9"/>
    </font>
    <font>
      <sz val="9"/>
    </font>
    <font>
      <sz val="9"/>
    </font>
    <font>
      <name val="Calibri"/>
      <b val="1"/>
      <sz val="16"/>
    </font>
    <font>
      <name val="宋体"/>
      <sz val="11"/>
    </font>
    <font>
      <sz val="12"/>
    </font>
    <font>
      <name val="Microsoft YaHei"/>
    </font>
  </fonts>
  <fills count="3">
    <fill>
      <patternFill patternType="none"/>
    </fill>
    <fill>
      <patternFill patternType="gray125"/>
    </fill>
    <fill/>
  </fills>
  <borders count="4">
    <border>
      <left/>
      <right/>
      <top/>
      <bottom/>
      <diagonal/>
    </border>
    <border diagonalUp="1" diagonalDown="1">
      <left/>
      <right/>
      <top/>
      <bottom/>
      <diagonal/>
    </border>
    <border/>
    <border/>
  </borders>
  <cellStyleXfs>
    <xf fontId="3" fillId="0" borderId="0" xfId="0" applyNumberFormat="1" applyFont="1" applyFill="1" applyBorder="1" applyAlignment="1">
      <alignment vertical="center"/>
    </xf>
  </cellStyleXfs>
  <cellXfs count="4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3" fillId="0" borderId="0" xfId="0">
      <alignment horizontal="center" vertical="center"/>
    </xf>
    <xf fontId="4" fillId="0" borderId="0" xfId="0">
      <alignment horizontal="center" vertical="center"/>
    </xf>
    <xf fontId="4" fillId="0" borderId="0" xfId="0">
      <alignment horizontal="center" vertical="center"/>
    </xf>
    <xf numFmtId="62" fontId="3" fillId="0" borderId="0" xfId="0">
      <alignment horizontal="center" vertical="center"/>
    </xf>
    <xf fontId="4" fillId="0" borderId="0" xfId="0">
      <alignment horizontal="center" vertical="bottom"/>
    </xf>
    <xf numFmtId="0" fontId="4" fillId="0" borderId="0" xfId="0">
      <alignment horizontal="center" vertical="bottom"/>
    </xf>
    <xf fontId="4" fillId="0" borderId="0" xfId="0">
      <alignment horizontal="center" vertical="bottom"/>
    </xf>
    <xf fontId="5" fillId="0" borderId="0" xfId="0">
      <alignment horizontal="center" vertical="center" wrapText="0"/>
    </xf>
    <xf fontId="6" fillId="0" borderId="0" xfId="0">
      <alignment horizontal="center" vertical="center" wrapText="0"/>
    </xf>
    <xf fontId="7" fillId="0" borderId="0" xfId="0">
      <alignment horizontal="center" vertical="center" wrapText="0"/>
    </xf>
    <xf fontId="0" fillId="0" borderId="0" xfId="0">
      <alignment horizontal="left" vertical="center"/>
    </xf>
    <xf fontId="8" fillId="0" borderId="0" xfId="0">
      <alignment horizontal="center" vertical="center" wrapText="1"/>
    </xf>
    <xf fontId="9" fillId="0" borderId="0" xfId="0">
      <alignment horizontal="center" vertical="center" wrapText="1"/>
    </xf>
    <xf fontId="9" fillId="0" borderId="0" xfId="0">
      <alignment horizontal="center" vertical="center"/>
    </xf>
    <xf fontId="9" fillId="0" borderId="0" xfId="0">
      <alignment vertical="center"/>
    </xf>
    <xf numFmtId="60" fontId="9" fillId="0" borderId="0" xfId="0">
      <alignment horizontal="center" vertical="center" wrapText="1"/>
    </xf>
    <xf numFmtId="62" fontId="9" fillId="0" borderId="0" xfId="0">
      <alignment horizontal="center" vertical="center" wrapText="1"/>
    </xf>
    <xf numFmtId="300" fontId="9" fillId="0" borderId="0" xfId="0">
      <alignment horizontal="center" vertical="center"/>
    </xf>
    <xf fontId="9" fillId="0" borderId="0" xfId="0">
      <alignment vertical="center" wrapText="1"/>
    </xf>
    <xf fontId="9" fillId="0" borderId="0" xfId="0">
      <alignment horizontal="right" vertical="center" wrapText="1"/>
    </xf>
    <xf numFmtId="60" fontId="9" fillId="0" borderId="0" xfId="0">
      <alignment horizontal="right" vertical="center" wrapText="1"/>
    </xf>
    <xf numFmtId="62" fontId="9" fillId="0" borderId="0" xfId="0">
      <alignment horizontal="right" vertical="center" wrapText="1"/>
    </xf>
    <xf numFmtId="300" fontId="9" fillId="0" borderId="0" xfId="0">
      <alignment vertical="center"/>
    </xf>
    <xf fontId="0" fillId="0" borderId="0" xfId="0">
      <alignment horizontal="right" vertical="center"/>
    </xf>
    <xf fontId="3" fillId="2" borderId="1" xfId="0">
      <alignment vertical="center"/>
    </xf>
    <xf numFmtId="62" fontId="4" fillId="0" borderId="0" xfId="0">
      <alignment horizontal="center" vertical="bottom"/>
    </xf>
    <xf fontId="10" fillId="0" borderId="0" xfId="0">
      <alignment horizontal="center" vertical="center"/>
    </xf>
    <xf fontId="10" fillId="0" borderId="0" xfId="0">
      <alignment vertical="center"/>
    </xf>
    <xf numFmtId="68" fontId="0" fillId="0" borderId="0" xfId="0">
      <alignment horizontal="center" vertical="center"/>
    </xf>
    <xf numFmtId="62" fontId="0" fillId="0" borderId="0" xfId="0">
      <alignment horizontal="center" vertical="center"/>
    </xf>
    <xf fontId="11" fillId="2" borderId="1" xfId="0">
      <alignment vertical="center"/>
    </xf>
    <xf fontId="0" fillId="0" borderId="2" xfId="0">
      <alignment horizontal="center" vertical="center"/>
    </xf>
    <xf fontId="0" fillId="0" borderId="2" xfId="0">
      <alignment vertical="center"/>
    </xf>
    <xf fontId="0" fillId="0" borderId="3" xfId="0">
      <alignment vertical="center"/>
    </xf>
    <xf numFmtId="0" fontId="4" fillId="0" borderId="0" xfId="0">
      <alignment horizontal="center" vertical="center"/>
    </xf>
    <xf fontId="9" fillId="0" borderId="0" xfId="0">
      <alignment vertical="center"/>
    </xf>
    <xf fontId="0"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worksheet" Target="worksheets/sheet3.xml" /><Relationship Id="rId0" Type="http://schemas.openxmlformats.org/officeDocument/2006/relationships/sharedStrings" Target="sharedStrings.xml" /><Relationship Id="rId4" Type="http://schemas.openxmlformats.org/officeDocument/2006/relationships/worksheet" Target="worksheets/sheet2.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总表（人力）">
    <tabColor/>
  </sheetPr>
  <dimension ref="E13"/>
  <sheetViews>
    <sheetView showGridLines="1" workbookViewId="0"/>
  </sheetViews>
  <sheetFormatPr baseColWidth="13" defaultRowHeight="18" customHeight="1"/>
  <cols>
    <col min="1" max="1" width="13.6719" style="4"/>
    <col min="2" max="2" width="35.7422" style="4" customWidth="1"/>
    <col min="3" max="5" width="13.6719" style="4"/>
  </cols>
  <sheetData>
    <row r="1" spans="1:4" ht="25.5" customHeight="1">
      <c r="A1" s="4" t="s">
        <v>1</v>
      </c>
      <c r="B1" s="4" t="s">
        <v>2</v>
      </c>
      <c r="C1" s="36" t="s">
        <v>3</v>
      </c>
      <c r="D1" s="38" t="s"/>
    </row>
    <row r="2" spans="1:5" ht="25.5" customHeight="1">
      <c r="A2" s="4">
        <v>1</v>
      </c>
      <c r="B2" s="4" t="s">
        <v>4</v>
      </c>
      <c r="C2" s="34">
        <f>=项目工时汇总!F57</f>
      </c>
      <c r="D2" s="33">
        <f>=C2/E2</f>
      </c>
      <c r="E2" s="4">
        <f>=C2+C3</f>
      </c>
    </row>
    <row r="3" spans="1:4" ht="25.5" customHeight="1">
      <c r="A3" s="4">
        <v>2</v>
      </c>
      <c r="B3" s="4" t="s">
        <v>5</v>
      </c>
      <c r="C3" s="34">
        <f>=项目工时汇总!F58</f>
      </c>
      <c r="D3" s="33">
        <f>=C3/E2</f>
      </c>
    </row>
    <row r="4" spans="1:5" ht="25.5" customHeight="1">
      <c r="A4" s="4">
        <v>3</v>
      </c>
      <c r="B4" s="4" t="s">
        <v>6</v>
      </c>
      <c r="C4" s="34">
        <f>=部门日志汇总!C15</f>
      </c>
      <c r="D4" s="33">
        <f>=C4/E4</f>
      </c>
      <c r="E4" s="4">
        <f>=C4+C6</f>
      </c>
    </row>
    <row r="5" spans="1:3" ht="25.5" customHeight="1">
      <c r="A5" s="4">
        <v>4</v>
      </c>
      <c r="B5" s="4" t="s">
        <v>629</v>
      </c>
      <c r="C5" s="34">
        <v>44269.97</v>
      </c>
    </row>
    <row r="6" spans="1:4" ht="25.5" customHeight="1">
      <c r="A6" s="4">
        <v>5</v>
      </c>
      <c r="B6" s="4" t="s">
        <v>7</v>
      </c>
      <c r="C6" s="34">
        <f>=部门日志汇总!D15</f>
      </c>
      <c r="D6" s="33">
        <f>=C6/E4</f>
      </c>
    </row>
    <row r="7" spans="1:4">
      <c r="A7" s="4">
        <v>6</v>
      </c>
      <c r="B7" s="4" t="s">
        <v>8</v>
      </c>
      <c r="C7" s="34">
        <f>=项目工时汇总!F59</f>
      </c>
      <c r="D7" s="33">
        <f>=C7/(C2+C4)</f>
      </c>
    </row>
    <row r="11" spans="2:5">
      <c r="B11" s="4" t="s">
        <v>626</v>
      </c>
      <c r="C11" s="34">
        <f>=C2+C4+C7</f>
      </c>
      <c r="D11" s="33">
        <f>=C11/E11</f>
      </c>
      <c r="E11" s="4">
        <f>=C11+C12</f>
      </c>
    </row>
    <row r="12" spans="2:5">
      <c r="B12" s="4" t="s">
        <v>627</v>
      </c>
      <c r="C12" s="34">
        <f>=C3+C6</f>
      </c>
      <c r="D12" s="33">
        <f>=C12/E11</f>
      </c>
      <c r="E12" s="35" t="s"/>
    </row>
    <row r="13" spans="5:5">
      <c r="E13" s="4" t="s"/>
    </row>
  </sheetData>
  <mergeCells count="4">
    <mergeCell ref="E2:E3"/>
    <mergeCell ref="E4:E5"/>
    <mergeCell ref="E11:E12"/>
    <mergeCell ref="C1:F1"/>
  </mergeCells>
</worksheet>
</file>

<file path=xl/worksheets/sheet2.xml><?xml version="1.0" encoding="utf-8"?>
<worksheet xmlns="http://schemas.openxmlformats.org/spreadsheetml/2006/main">
  <sheetPr codeName="部门日志汇总">
    <tabColor/>
  </sheetPr>
  <dimension ref="D15"/>
  <sheetViews>
    <sheetView showGridLines="1" workbookViewId="0"/>
  </sheetViews>
  <sheetFormatPr baseColWidth="13" defaultRowHeight="18" customHeight="1"/>
  <cols>
    <col min="1" max="1" width="17.1328" style="5" customWidth="1"/>
    <col min="2" max="2" width="11.7344" style="5" customWidth="1"/>
    <col min="3" max="3" width="35.0742" style="5" customWidth="1"/>
    <col min="4" max="4" width="30.4844" style="5" customWidth="1"/>
    <col min="5" max="26" width="13.6719" style="5"/>
  </cols>
  <sheetData>
    <row r="1" spans="1:1">
      <c r="A1" s="5" t="s"/>
    </row>
    <row r="2" spans="1:4">
      <c r="A2" s="6" t="s">
        <v>9</v>
      </c>
      <c r="B2" s="6" t="s">
        <v>10</v>
      </c>
      <c r="C2" s="6" t="s">
        <v>11</v>
      </c>
      <c r="D2" s="7" t="s">
        <v>12</v>
      </c>
    </row>
    <row r="3" spans="1:4">
      <c r="A3" s="6" t="s">
        <v>13</v>
      </c>
      <c r="B3" s="6">
        <v>42.7</v>
      </c>
      <c r="C3" s="6">
        <v>56579.08</v>
      </c>
      <c r="D3" s="8">
        <v>0</v>
      </c>
    </row>
    <row r="4" spans="1:4">
      <c r="A4" s="6" t="s">
        <v>14</v>
      </c>
      <c r="B4" s="6">
        <v>26.6</v>
      </c>
      <c r="C4" s="6">
        <v>28514.71</v>
      </c>
      <c r="D4" s="8">
        <v>0</v>
      </c>
    </row>
    <row r="5" spans="1:4">
      <c r="A5" s="6" t="s">
        <v>15</v>
      </c>
      <c r="B5" s="6">
        <v>16.1</v>
      </c>
      <c r="C5" s="6">
        <v>17151.43</v>
      </c>
      <c r="D5" s="8">
        <v>0</v>
      </c>
    </row>
    <row r="6" spans="1:4">
      <c r="A6" s="6" t="s">
        <v>16</v>
      </c>
      <c r="B6" s="6">
        <v>9.5</v>
      </c>
      <c r="C6" s="6">
        <v>14292.7</v>
      </c>
      <c r="D6" s="8">
        <v>0</v>
      </c>
    </row>
    <row r="7" spans="1:4">
      <c r="A7" s="6" t="s">
        <v>17</v>
      </c>
      <c r="B7" s="6">
        <v>13.85</v>
      </c>
      <c r="C7" s="6">
        <v>12399.98</v>
      </c>
      <c r="D7" s="8">
        <v>0</v>
      </c>
    </row>
    <row r="8" spans="1:4">
      <c r="A8" s="6" t="s">
        <v>18</v>
      </c>
      <c r="B8" s="6">
        <v>8.9</v>
      </c>
      <c r="C8" s="6">
        <v>10523.34</v>
      </c>
      <c r="D8" s="8">
        <v>0</v>
      </c>
    </row>
    <row r="9" spans="1:4">
      <c r="A9" s="6" t="s">
        <v>19</v>
      </c>
      <c r="B9" s="6">
        <v>7</v>
      </c>
      <c r="C9" s="6">
        <v>9376.13</v>
      </c>
      <c r="D9" s="8">
        <v>0</v>
      </c>
    </row>
    <row r="10" spans="1:4">
      <c r="A10" s="6" t="s">
        <v>20</v>
      </c>
      <c r="B10" s="6">
        <v>8.6</v>
      </c>
      <c r="C10" s="6">
        <v>8701.31</v>
      </c>
      <c r="D10" s="8">
        <v>0</v>
      </c>
    </row>
    <row r="11" spans="1:5">
      <c r="A11" s="6" t="s">
        <v>21</v>
      </c>
      <c r="B11" s="6">
        <v>7.7</v>
      </c>
      <c r="C11" s="6">
        <v>7375.22</v>
      </c>
      <c r="D11" s="8">
        <v>258.75</v>
      </c>
      <c r="E11" s="5" t="s"/>
    </row>
    <row r="12" spans="1:4">
      <c r="A12" s="6" t="s">
        <v>22</v>
      </c>
      <c r="B12" s="6">
        <v>7</v>
      </c>
      <c r="C12" s="6">
        <v>7044.79</v>
      </c>
      <c r="D12" s="8">
        <v>0</v>
      </c>
    </row>
    <row r="13" spans="1:4">
      <c r="A13" s="6" t="s">
        <v>23</v>
      </c>
      <c r="B13" s="6">
        <v>4.8</v>
      </c>
      <c r="C13" s="6">
        <v>5113.74</v>
      </c>
      <c r="D13" s="8">
        <v>0</v>
      </c>
    </row>
    <row r="14" spans="1:4">
      <c r="A14" s="6" t="s">
        <v>24</v>
      </c>
      <c r="B14" s="6">
        <v>1</v>
      </c>
      <c r="C14" s="6">
        <v>1044.84</v>
      </c>
      <c r="D14" s="8">
        <v>0</v>
      </c>
    </row>
    <row r="15" spans="2:4">
      <c r="B15" s="5" t="s">
        <v>25</v>
      </c>
      <c r="C15" s="5">
        <f>=SUM(C3:C14)</f>
      </c>
      <c r="D15" s="5">
        <f>=SUM(D3:D14)</f>
      </c>
    </row>
  </sheetData>
  <mergeCells count="1">
    <mergeCell ref="A1:C1"/>
  </mergeCells>
</worksheet>
</file>

<file path=xl/worksheets/sheet3.xml><?xml version="1.0" encoding="utf-8"?>
<worksheet xmlns="http://schemas.openxmlformats.org/spreadsheetml/2006/main">
  <sheetPr codeName="项目工时汇总">
    <tabColor/>
  </sheetPr>
  <dimension ref="E64"/>
  <sheetViews>
    <sheetView showGridLines="1" workbookViewId="0"/>
  </sheetViews>
  <sheetFormatPr baseColWidth="13" defaultRowHeight="18" customHeight="1"/>
  <cols>
    <col min="1" max="1" width="22.5234" customWidth="1"/>
    <col min="2" max="2" width="66.3633" customWidth="1"/>
    <col min="3" max="5" width="21.7109" style="4" customWidth="1"/>
    <col min="6" max="6" width="21.7109" style="4" customWidth="1"/>
    <col min="7" max="7" width="24.8242" style="4" customWidth="1"/>
    <col min="8" max="8" width="27.7109" customWidth="1"/>
    <col min="9" max="9" width="27.7109" customWidth="1"/>
    <col min="11" max="11" width="13.6719" style="4"/>
  </cols>
  <sheetData>
    <row r="1" spans="1:11" s="41" customFormat="1">
      <c r="A1" s="7" t="s">
        <v>26</v>
      </c>
      <c r="B1" s="7" t="s">
        <v>27</v>
      </c>
      <c r="C1" s="39" t="s">
        <v>622</v>
      </c>
      <c r="D1" s="39" t="s">
        <v>28</v>
      </c>
      <c r="E1" s="7" t="s"/>
      <c r="F1" s="7" t="s">
        <v>29</v>
      </c>
      <c r="H1" s="7" t="s">
        <v>30</v>
      </c>
      <c r="J1" s="5" t="s"/>
      <c r="K1" s="4" t="s"/>
    </row>
    <row r="2" spans="3:11" s="41" customFormat="1">
      <c r="C2" s="29" t="s"/>
      <c r="E2" s="39" t="s">
        <v>623</v>
      </c>
      <c r="F2" s="39" t="s">
        <v>31</v>
      </c>
      <c r="G2" s="6" t="s">
        <v>32</v>
      </c>
      <c r="H2" s="39" t="s">
        <v>31</v>
      </c>
      <c r="I2" s="7" t="s">
        <v>32</v>
      </c>
      <c r="J2" s="6" t="s">
        <v>33</v>
      </c>
      <c r="K2" s="4" t="s">
        <v>34</v>
      </c>
    </row>
    <row r="3" spans="1:11">
      <c r="A3" s="11" t="s">
        <v>35</v>
      </c>
      <c r="B3" s="11" t="s">
        <v>36</v>
      </c>
      <c r="C3" s="9">
        <f>=H3+F3</f>
      </c>
      <c r="D3" s="30">
        <f>=I3+G3</f>
      </c>
      <c r="E3" s="9">
        <f>=D3/C3</f>
      </c>
      <c r="F3" s="9">
        <v>2</v>
      </c>
      <c r="G3" s="11">
        <v>1500</v>
      </c>
      <c r="H3" s="9">
        <v>0</v>
      </c>
      <c r="I3" s="11">
        <v>0</v>
      </c>
      <c r="J3" s="12" t="s">
        <v>37</v>
      </c>
      <c r="K3" s="13" t="s">
        <v>38</v>
      </c>
    </row>
    <row r="4" spans="1:11" hidden="1">
      <c r="A4" s="11" t="s">
        <v>39</v>
      </c>
      <c r="B4" s="11" t="s">
        <v>40</v>
      </c>
      <c r="C4" s="9">
        <f>=H4+F4</f>
      </c>
      <c r="D4" s="30">
        <f>=I4+G4</f>
      </c>
      <c r="E4" s="30">
        <f>=D4/C4</f>
      </c>
      <c r="F4" s="9">
        <v>21.5</v>
      </c>
      <c r="G4" s="11">
        <v>21643.53</v>
      </c>
      <c r="H4" s="9">
        <v>10.5</v>
      </c>
      <c r="I4" s="11">
        <v>11511.42</v>
      </c>
      <c r="J4" s="12" t="s">
        <v>41</v>
      </c>
      <c r="K4" s="14" t="s">
        <v>38</v>
      </c>
    </row>
    <row r="5" spans="1:11" hidden="1">
      <c r="A5" s="11" t="s">
        <v>42</v>
      </c>
      <c r="B5" s="11" t="s">
        <v>43</v>
      </c>
      <c r="C5" s="9">
        <f>=H5+F5</f>
      </c>
      <c r="D5" s="30">
        <f>=I5+G5</f>
      </c>
      <c r="E5" s="30">
        <f>=D5/C5</f>
      </c>
      <c r="F5" s="9">
        <v>14</v>
      </c>
      <c r="G5" s="11">
        <v>10866.5</v>
      </c>
      <c r="H5" s="9">
        <v>0</v>
      </c>
      <c r="I5" s="11">
        <v>0</v>
      </c>
      <c r="J5" s="12" t="s">
        <v>41</v>
      </c>
      <c r="K5" s="14" t="s">
        <v>38</v>
      </c>
    </row>
    <row r="6" spans="1:11" hidden="1">
      <c r="A6" s="11" t="s">
        <v>44</v>
      </c>
      <c r="B6" s="11" t="s">
        <v>45</v>
      </c>
      <c r="C6" s="9">
        <f>=H6+F6</f>
      </c>
      <c r="D6" s="30">
        <f>=I6+G6</f>
      </c>
      <c r="E6" s="30">
        <f>=D6/C6</f>
      </c>
      <c r="F6" s="9">
        <v>3.5</v>
      </c>
      <c r="G6" s="11">
        <v>3162.5</v>
      </c>
      <c r="H6" s="9">
        <v>0</v>
      </c>
      <c r="I6" s="11">
        <v>0</v>
      </c>
      <c r="J6" s="12" t="s">
        <v>41</v>
      </c>
      <c r="K6" s="14" t="s">
        <v>38</v>
      </c>
    </row>
    <row r="7" spans="1:11" hidden="1">
      <c r="A7" s="11" t="s">
        <v>46</v>
      </c>
      <c r="B7" s="11" t="s">
        <v>47</v>
      </c>
      <c r="C7" s="9">
        <f>=H7+F7</f>
      </c>
      <c r="D7" s="30">
        <f>=I7+G7</f>
      </c>
      <c r="E7" s="30">
        <f>=D7/C7</f>
      </c>
      <c r="F7" s="9">
        <v>37</v>
      </c>
      <c r="G7" s="11">
        <v>27765.33</v>
      </c>
      <c r="H7" s="9">
        <v>0</v>
      </c>
      <c r="I7" s="11">
        <v>0</v>
      </c>
      <c r="J7" s="12" t="s">
        <v>41</v>
      </c>
      <c r="K7" s="14" t="s">
        <v>38</v>
      </c>
    </row>
    <row r="8" spans="1:11" hidden="1">
      <c r="A8" s="11" t="s">
        <v>48</v>
      </c>
      <c r="B8" s="11" t="s">
        <v>49</v>
      </c>
      <c r="C8" s="9">
        <f>=H8+F8</f>
      </c>
      <c r="D8" s="30">
        <f>=I8+G8</f>
      </c>
      <c r="E8" s="30">
        <f>=D8/C8</f>
      </c>
      <c r="F8" s="9">
        <v>22.5</v>
      </c>
      <c r="G8" s="11">
        <v>21600.99</v>
      </c>
      <c r="H8" s="9">
        <v>0</v>
      </c>
      <c r="I8" s="11">
        <v>0</v>
      </c>
      <c r="J8" s="12" t="s">
        <v>41</v>
      </c>
      <c r="K8" s="14" t="s">
        <v>38</v>
      </c>
    </row>
    <row r="9" spans="1:11">
      <c r="A9" s="11" t="s">
        <v>50</v>
      </c>
      <c r="B9" s="11" t="s">
        <v>51</v>
      </c>
      <c r="C9" s="9">
        <f>=H9+F9</f>
      </c>
      <c r="D9" s="30">
        <f>=I9+G9</f>
      </c>
      <c r="E9" s="30">
        <f>=D9/C9</f>
      </c>
      <c r="F9" s="9">
        <v>4</v>
      </c>
      <c r="G9" s="11">
        <v>3937.52</v>
      </c>
      <c r="H9" s="9">
        <v>0</v>
      </c>
      <c r="I9" s="11">
        <v>0</v>
      </c>
      <c r="J9" s="12" t="s">
        <v>37</v>
      </c>
      <c r="K9" s="14" t="s">
        <v>38</v>
      </c>
    </row>
    <row r="10" spans="1:11" hidden="1">
      <c r="A10" s="11" t="s">
        <v>52</v>
      </c>
      <c r="B10" s="11" t="s">
        <v>53</v>
      </c>
      <c r="C10" s="9">
        <f>=H10+F10</f>
      </c>
      <c r="D10" s="30">
        <f>=I10+G10</f>
      </c>
      <c r="E10" s="30">
        <f>=D10/C10</f>
      </c>
      <c r="F10" s="9">
        <v>14.5</v>
      </c>
      <c r="G10" s="11">
        <v>10757.62</v>
      </c>
      <c r="H10" s="9">
        <v>0.5</v>
      </c>
      <c r="I10" s="11">
        <v>431.25</v>
      </c>
      <c r="J10" s="12" t="s">
        <v>41</v>
      </c>
      <c r="K10" s="14" t="s">
        <v>38</v>
      </c>
    </row>
    <row r="11" spans="1:11" hidden="1">
      <c r="A11" s="11" t="s">
        <v>54</v>
      </c>
      <c r="B11" s="11" t="s">
        <v>55</v>
      </c>
      <c r="C11" s="9">
        <f>=H11+F11</f>
      </c>
      <c r="D11" s="30">
        <f>=I11+G11</f>
      </c>
      <c r="E11" s="30">
        <f>=D11/C11</f>
      </c>
      <c r="F11" s="9">
        <v>45.8</v>
      </c>
      <c r="G11" s="11">
        <v>46400.51</v>
      </c>
      <c r="H11" s="9">
        <v>27</v>
      </c>
      <c r="I11" s="11">
        <v>24384.92</v>
      </c>
      <c r="J11" s="12" t="s">
        <v>41</v>
      </c>
      <c r="K11" s="14" t="s">
        <v>38</v>
      </c>
    </row>
    <row r="12" spans="1:11" hidden="1">
      <c r="A12" s="11" t="s">
        <v>56</v>
      </c>
      <c r="B12" s="11" t="s">
        <v>57</v>
      </c>
      <c r="C12" s="9">
        <f>=H12+F12</f>
      </c>
      <c r="D12" s="30">
        <f>=I12+G12</f>
      </c>
      <c r="E12" s="30">
        <f>=D12/C12</f>
      </c>
      <c r="F12" s="9">
        <v>2</v>
      </c>
      <c r="G12" s="11">
        <v>1221.22</v>
      </c>
      <c r="H12" s="9">
        <v>0</v>
      </c>
      <c r="I12" s="11">
        <v>0</v>
      </c>
      <c r="J12" s="12" t="s">
        <v>41</v>
      </c>
      <c r="K12" s="14" t="s">
        <v>38</v>
      </c>
    </row>
    <row r="13" spans="1:11" hidden="1">
      <c r="A13" s="11" t="s">
        <v>58</v>
      </c>
      <c r="B13" s="11" t="s">
        <v>59</v>
      </c>
      <c r="C13" s="9">
        <f>=H13+F13</f>
      </c>
      <c r="D13" s="30">
        <f>=I13+G13</f>
      </c>
      <c r="E13" s="30">
        <f>=D13/C13</f>
      </c>
      <c r="F13" s="9">
        <v>3</v>
      </c>
      <c r="G13" s="11">
        <v>1831.83</v>
      </c>
      <c r="H13" s="9">
        <v>0</v>
      </c>
      <c r="I13" s="11">
        <v>0</v>
      </c>
      <c r="J13" s="12" t="s">
        <v>41</v>
      </c>
      <c r="K13" s="14" t="s">
        <v>38</v>
      </c>
    </row>
    <row r="14" spans="1:11" hidden="1">
      <c r="A14" s="11" t="s">
        <v>60</v>
      </c>
      <c r="B14" s="11" t="s">
        <v>61</v>
      </c>
      <c r="C14" s="9">
        <f>=H14+F14</f>
      </c>
      <c r="D14" s="30">
        <f>=I14+G14</f>
      </c>
      <c r="E14" s="30">
        <f>=D14/C14</f>
      </c>
      <c r="F14" s="9">
        <v>8</v>
      </c>
      <c r="G14" s="11">
        <v>5342.82</v>
      </c>
      <c r="H14" s="9">
        <v>0</v>
      </c>
      <c r="I14" s="11">
        <v>0</v>
      </c>
      <c r="J14" s="12" t="s">
        <v>41</v>
      </c>
      <c r="K14" s="14" t="s">
        <v>38</v>
      </c>
    </row>
    <row r="15" spans="1:11" hidden="1">
      <c r="A15" s="11" t="s">
        <v>62</v>
      </c>
      <c r="B15" s="11" t="s">
        <v>63</v>
      </c>
      <c r="C15" s="9">
        <f>=H15+F15</f>
      </c>
      <c r="D15" s="30">
        <f>=I15+G15</f>
      </c>
      <c r="E15" s="30">
        <f>=D15/C15</f>
      </c>
      <c r="F15" s="9">
        <v>6.6</v>
      </c>
      <c r="G15" s="11">
        <v>7783.03</v>
      </c>
      <c r="H15" s="9">
        <v>0</v>
      </c>
      <c r="I15" s="11">
        <v>0</v>
      </c>
      <c r="J15" s="12" t="s">
        <v>41</v>
      </c>
      <c r="K15" s="14" t="s">
        <v>38</v>
      </c>
    </row>
    <row r="16" spans="1:11" hidden="1">
      <c r="A16" s="11" t="s">
        <v>64</v>
      </c>
      <c r="B16" s="11" t="s">
        <v>65</v>
      </c>
      <c r="C16" s="9">
        <f>=H16+F16</f>
      </c>
      <c r="D16" s="30">
        <f>=I16+G16</f>
      </c>
      <c r="E16" s="30">
        <f>=D16/C16</f>
      </c>
      <c r="F16" s="9">
        <v>13.1</v>
      </c>
      <c r="G16" s="11">
        <v>13051.84</v>
      </c>
      <c r="H16" s="9">
        <v>0.7</v>
      </c>
      <c r="I16" s="11">
        <v>603.75</v>
      </c>
      <c r="J16" s="12" t="s">
        <v>41</v>
      </c>
      <c r="K16" s="14" t="s">
        <v>38</v>
      </c>
    </row>
    <row r="17" spans="1:11" hidden="1">
      <c r="A17" s="11" t="s">
        <v>66</v>
      </c>
      <c r="B17" s="11" t="s">
        <v>67</v>
      </c>
      <c r="C17" s="9">
        <f>=H17+F17</f>
      </c>
      <c r="D17" s="30">
        <f>=I17+G17</f>
      </c>
      <c r="E17" s="30">
        <f>=D17/C17</f>
      </c>
      <c r="F17" s="9">
        <v>1</v>
      </c>
      <c r="G17" s="11">
        <v>862.5</v>
      </c>
      <c r="H17" s="9">
        <v>0</v>
      </c>
      <c r="I17" s="11">
        <v>0</v>
      </c>
      <c r="J17" s="12" t="s">
        <v>41</v>
      </c>
      <c r="K17" s="14" t="s">
        <v>38</v>
      </c>
    </row>
    <row r="18" spans="1:11" hidden="1">
      <c r="A18" s="11" t="s">
        <v>68</v>
      </c>
      <c r="B18" s="11" t="s">
        <v>69</v>
      </c>
      <c r="C18" s="9">
        <f>=H18+F18</f>
      </c>
      <c r="D18" s="30">
        <f>=I18+G18</f>
      </c>
      <c r="E18" s="30">
        <f>=D18/C18</f>
      </c>
      <c r="F18" s="9">
        <v>2</v>
      </c>
      <c r="G18" s="11">
        <v>1725</v>
      </c>
      <c r="H18" s="9">
        <v>0</v>
      </c>
      <c r="I18" s="11">
        <v>0</v>
      </c>
      <c r="J18" s="12" t="s">
        <v>41</v>
      </c>
      <c r="K18" s="14" t="s">
        <v>38</v>
      </c>
    </row>
    <row r="19" spans="1:11">
      <c r="A19" s="11" t="s">
        <v>70</v>
      </c>
      <c r="B19" s="11" t="s">
        <v>71</v>
      </c>
      <c r="C19" s="9">
        <f>=H19+F19</f>
      </c>
      <c r="D19" s="30">
        <f>=I19+G19</f>
      </c>
      <c r="E19" s="30">
        <f>=D19/C19</f>
      </c>
      <c r="F19" s="9">
        <v>1</v>
      </c>
      <c r="G19" s="11">
        <v>955.56</v>
      </c>
      <c r="H19" s="9">
        <v>0</v>
      </c>
      <c r="I19" s="11">
        <v>0</v>
      </c>
      <c r="J19" s="12" t="s">
        <v>37</v>
      </c>
      <c r="K19" s="14" t="s">
        <v>38</v>
      </c>
    </row>
    <row r="20" spans="1:11">
      <c r="A20" s="11" t="s">
        <v>72</v>
      </c>
      <c r="B20" s="11" t="s">
        <v>73</v>
      </c>
      <c r="C20" s="9">
        <f>=H20+F20</f>
      </c>
      <c r="D20" s="30">
        <f>=I20+G20</f>
      </c>
      <c r="E20" s="30">
        <f>=D20/C20</f>
      </c>
      <c r="F20" s="9">
        <v>6</v>
      </c>
      <c r="G20" s="11">
        <v>6927.8</v>
      </c>
      <c r="H20" s="9">
        <v>0</v>
      </c>
      <c r="I20" s="11">
        <v>0</v>
      </c>
      <c r="J20" s="12" t="s">
        <v>37</v>
      </c>
      <c r="K20" s="14" t="s">
        <v>38</v>
      </c>
    </row>
    <row r="21" spans="1:11">
      <c r="A21" s="11" t="s">
        <v>74</v>
      </c>
      <c r="B21" s="11" t="s">
        <v>75</v>
      </c>
      <c r="C21" s="9">
        <f>=H21+F21</f>
      </c>
      <c r="D21" s="30">
        <f>=I21+G21</f>
      </c>
      <c r="E21" s="30">
        <f>=D21/C21</f>
      </c>
      <c r="F21" s="9">
        <v>8.5</v>
      </c>
      <c r="G21" s="11">
        <v>9463.27</v>
      </c>
      <c r="H21" s="9">
        <v>0</v>
      </c>
      <c r="I21" s="11">
        <v>0</v>
      </c>
      <c r="J21" s="12" t="s">
        <v>37</v>
      </c>
      <c r="K21" s="14" t="s">
        <v>38</v>
      </c>
    </row>
    <row r="22" spans="1:11" hidden="1">
      <c r="A22" s="11" t="s">
        <v>76</v>
      </c>
      <c r="B22" s="11" t="s">
        <v>77</v>
      </c>
      <c r="C22" s="9">
        <f>=H22+F22</f>
      </c>
      <c r="D22" s="30">
        <f>=I22+G22</f>
      </c>
      <c r="E22" s="30">
        <f>=D22/C22</f>
      </c>
      <c r="F22" s="9">
        <v>2</v>
      </c>
      <c r="G22" s="11">
        <v>2316.66</v>
      </c>
      <c r="H22" s="9">
        <v>0</v>
      </c>
      <c r="I22" s="11">
        <v>0</v>
      </c>
      <c r="J22" s="12" t="s">
        <v>41</v>
      </c>
      <c r="K22" s="14" t="s">
        <v>78</v>
      </c>
    </row>
    <row r="23" spans="1:11" hidden="1">
      <c r="A23" s="11" t="s">
        <v>79</v>
      </c>
      <c r="B23" s="11" t="s">
        <v>80</v>
      </c>
      <c r="C23" s="9">
        <f>=H23+F23</f>
      </c>
      <c r="D23" s="30">
        <f>=I23+G23</f>
      </c>
      <c r="E23" s="30">
        <f>=D23/C23</f>
      </c>
      <c r="F23" s="9">
        <v>165.8</v>
      </c>
      <c r="G23" s="11">
        <v>170473.27</v>
      </c>
      <c r="H23" s="9">
        <v>205.85</v>
      </c>
      <c r="I23" s="11">
        <v>181095.7</v>
      </c>
      <c r="J23" s="12" t="s">
        <v>41</v>
      </c>
      <c r="K23" s="14" t="s">
        <v>78</v>
      </c>
    </row>
    <row r="24" spans="1:11" hidden="1">
      <c r="A24" s="11" t="s">
        <v>81</v>
      </c>
      <c r="B24" s="11" t="s">
        <v>82</v>
      </c>
      <c r="C24" s="9">
        <f>=H24+F24</f>
      </c>
      <c r="D24" s="30">
        <f>=I24+G24</f>
      </c>
      <c r="E24" s="30">
        <f>=D24/C24</f>
      </c>
      <c r="F24" s="9">
        <v>3</v>
      </c>
      <c r="G24" s="11">
        <v>2866.68</v>
      </c>
      <c r="H24" s="9">
        <v>3</v>
      </c>
      <c r="I24" s="11">
        <v>2518.74</v>
      </c>
      <c r="J24" s="12" t="s">
        <v>41</v>
      </c>
      <c r="K24" s="14" t="s">
        <v>78</v>
      </c>
    </row>
    <row r="25" spans="1:11" hidden="1">
      <c r="A25" s="11" t="s">
        <v>83</v>
      </c>
      <c r="B25" s="11" t="s">
        <v>84</v>
      </c>
      <c r="C25" s="9">
        <f>=H25+F25</f>
      </c>
      <c r="D25" s="30">
        <f>=I25+G25</f>
      </c>
      <c r="E25" s="30">
        <f>=D25/C25</f>
      </c>
      <c r="F25" s="9">
        <v>0.1</v>
      </c>
      <c r="G25" s="11">
        <v>115.83</v>
      </c>
      <c r="H25" s="9">
        <v>0</v>
      </c>
      <c r="I25" s="11">
        <v>0</v>
      </c>
      <c r="J25" s="12" t="s">
        <v>41</v>
      </c>
      <c r="K25" s="14" t="s">
        <v>78</v>
      </c>
    </row>
    <row r="26" spans="1:11" hidden="1">
      <c r="A26" s="11" t="s">
        <v>85</v>
      </c>
      <c r="B26" s="11" t="s">
        <v>86</v>
      </c>
      <c r="C26" s="9">
        <f>=H26+F26</f>
      </c>
      <c r="D26" s="30">
        <f>=I26+G26</f>
      </c>
      <c r="E26" s="30">
        <f>=D26/C26</f>
      </c>
      <c r="F26" s="9">
        <v>5.9</v>
      </c>
      <c r="G26" s="11">
        <v>5568.26</v>
      </c>
      <c r="H26" s="9">
        <v>21.8</v>
      </c>
      <c r="I26" s="11">
        <v>15449.95</v>
      </c>
      <c r="J26" s="12" t="s">
        <v>41</v>
      </c>
      <c r="K26" s="14" t="s">
        <v>78</v>
      </c>
    </row>
    <row r="27" spans="1:11" hidden="1">
      <c r="A27" s="11" t="s">
        <v>87</v>
      </c>
      <c r="B27" s="11" t="s">
        <v>88</v>
      </c>
      <c r="C27" s="9">
        <f>=H27+F27</f>
      </c>
      <c r="D27" s="30">
        <f>=I27+G27</f>
      </c>
      <c r="E27" s="30">
        <f>=D27/C27</f>
      </c>
      <c r="F27" s="9">
        <v>1.1</v>
      </c>
      <c r="G27" s="11">
        <v>1135.11</v>
      </c>
      <c r="H27" s="9">
        <v>0</v>
      </c>
      <c r="I27" s="11">
        <v>0</v>
      </c>
      <c r="J27" s="12" t="s">
        <v>41</v>
      </c>
      <c r="K27" s="14" t="s">
        <v>78</v>
      </c>
    </row>
    <row r="28" spans="1:11" hidden="1">
      <c r="A28" s="11" t="s">
        <v>89</v>
      </c>
      <c r="B28" s="11" t="s">
        <v>24</v>
      </c>
      <c r="C28" s="9">
        <f>=H28+F28</f>
      </c>
      <c r="D28" s="30">
        <f>=I28+G28</f>
      </c>
      <c r="E28" s="30">
        <f>=D28/C28</f>
      </c>
      <c r="F28" s="9">
        <v>7.2</v>
      </c>
      <c r="G28" s="11">
        <v>7362.15</v>
      </c>
      <c r="H28" s="9">
        <v>20.8</v>
      </c>
      <c r="I28" s="11">
        <v>14834.05</v>
      </c>
      <c r="J28" s="12" t="s">
        <v>41</v>
      </c>
      <c r="K28" s="14" t="s">
        <v>78</v>
      </c>
    </row>
    <row r="29" spans="1:11" hidden="1">
      <c r="A29" s="11" t="s">
        <v>90</v>
      </c>
      <c r="B29" s="11" t="s">
        <v>91</v>
      </c>
      <c r="C29" s="9">
        <f>=H29+F29</f>
      </c>
      <c r="D29" s="30">
        <f>=I29+G29</f>
      </c>
      <c r="E29" s="30">
        <f>=D29/C29</f>
      </c>
      <c r="F29" s="9">
        <v>17</v>
      </c>
      <c r="G29" s="11">
        <v>15286.62</v>
      </c>
      <c r="H29" s="9">
        <v>13.93</v>
      </c>
      <c r="I29" s="11">
        <v>10842.95</v>
      </c>
      <c r="J29" s="12" t="s">
        <v>41</v>
      </c>
      <c r="K29" s="14" t="s">
        <v>78</v>
      </c>
    </row>
    <row r="30" spans="1:11" hidden="1">
      <c r="A30" s="11" t="s">
        <v>92</v>
      </c>
      <c r="B30" s="11" t="s">
        <v>93</v>
      </c>
      <c r="C30" s="9">
        <f>=H30+F30</f>
      </c>
      <c r="D30" s="30">
        <f>=I30+G30</f>
      </c>
      <c r="E30" s="30">
        <f>=D30/C30</f>
      </c>
      <c r="F30" s="9">
        <v>0.5</v>
      </c>
      <c r="G30" s="11">
        <v>477.78</v>
      </c>
      <c r="H30" s="9">
        <v>0</v>
      </c>
      <c r="I30" s="11">
        <v>0</v>
      </c>
      <c r="J30" s="12" t="s">
        <v>41</v>
      </c>
      <c r="K30" s="14" t="s">
        <v>78</v>
      </c>
    </row>
    <row r="31" spans="1:11" hidden="1">
      <c r="A31" s="11" t="s">
        <v>94</v>
      </c>
      <c r="B31" s="11" t="s">
        <v>95</v>
      </c>
      <c r="C31" s="9">
        <f>=H31+F31</f>
      </c>
      <c r="D31" s="30">
        <f>=I31+G31</f>
      </c>
      <c r="E31" s="30">
        <f>=D31/C31</f>
      </c>
      <c r="F31" s="9">
        <v>0</v>
      </c>
      <c r="G31" s="11">
        <v>0</v>
      </c>
      <c r="H31" s="9">
        <v>7</v>
      </c>
      <c r="I31" s="11">
        <v>5272.77</v>
      </c>
      <c r="J31" s="12" t="s">
        <v>41</v>
      </c>
      <c r="K31" s="14" t="s">
        <v>78</v>
      </c>
    </row>
    <row r="32" spans="1:11" hidden="1">
      <c r="A32" s="11" t="s">
        <v>96</v>
      </c>
      <c r="B32" s="11" t="s">
        <v>97</v>
      </c>
      <c r="C32" s="9">
        <f>=H32+F32</f>
      </c>
      <c r="D32" s="30">
        <f>=I32+G32</f>
      </c>
      <c r="E32" s="30">
        <f>=D32/C32</f>
      </c>
      <c r="F32" s="9">
        <v>9.7</v>
      </c>
      <c r="G32" s="11">
        <v>9783.23</v>
      </c>
      <c r="H32" s="9">
        <v>13</v>
      </c>
      <c r="I32" s="11">
        <v>7940.07</v>
      </c>
      <c r="J32" s="12" t="s">
        <v>41</v>
      </c>
      <c r="K32" s="14" t="s">
        <v>78</v>
      </c>
    </row>
    <row r="33" spans="1:11" hidden="1">
      <c r="A33" s="11" t="s">
        <v>98</v>
      </c>
      <c r="B33" s="11" t="s">
        <v>99</v>
      </c>
      <c r="C33" s="9">
        <f>=H33+F33</f>
      </c>
      <c r="D33" s="30">
        <f>=I33+G33</f>
      </c>
      <c r="E33" s="30">
        <f>=D33/C33</f>
      </c>
      <c r="F33" s="9">
        <v>14.5</v>
      </c>
      <c r="G33" s="11">
        <v>14652.24</v>
      </c>
      <c r="H33" s="9">
        <v>2</v>
      </c>
      <c r="I33" s="11">
        <v>1656.05</v>
      </c>
      <c r="J33" s="12" t="s">
        <v>41</v>
      </c>
      <c r="K33" s="14" t="s">
        <v>78</v>
      </c>
    </row>
    <row r="34" spans="1:11" hidden="1">
      <c r="A34" s="11" t="s">
        <v>100</v>
      </c>
      <c r="B34" s="11" t="s">
        <v>101</v>
      </c>
      <c r="C34" s="9">
        <f>=H34+F34</f>
      </c>
      <c r="D34" s="30">
        <f>=I34+G34</f>
      </c>
      <c r="E34" s="30">
        <f>=D34/C34</f>
      </c>
      <c r="F34" s="9">
        <v>6.5</v>
      </c>
      <c r="G34" s="11">
        <v>6738.29</v>
      </c>
      <c r="H34" s="9">
        <v>0</v>
      </c>
      <c r="I34" s="11">
        <v>0</v>
      </c>
      <c r="J34" s="12" t="s">
        <v>41</v>
      </c>
      <c r="K34" s="14" t="s">
        <v>78</v>
      </c>
    </row>
    <row r="35" spans="1:11" hidden="1">
      <c r="A35" s="11" t="s">
        <v>102</v>
      </c>
      <c r="B35" s="11" t="s">
        <v>103</v>
      </c>
      <c r="C35" s="9">
        <f>=H35+F35</f>
      </c>
      <c r="D35" s="30">
        <f>=I35+G35</f>
      </c>
      <c r="E35" s="30">
        <f>=D35/C35</f>
      </c>
      <c r="F35" s="9">
        <v>5.5</v>
      </c>
      <c r="G35" s="11">
        <v>5591.83</v>
      </c>
      <c r="H35" s="9">
        <v>8</v>
      </c>
      <c r="I35" s="11">
        <v>5102.25</v>
      </c>
      <c r="J35" s="12" t="s">
        <v>41</v>
      </c>
      <c r="K35" s="14" t="s">
        <v>78</v>
      </c>
    </row>
    <row r="36" spans="1:11" hidden="1">
      <c r="A36" s="11" t="s">
        <v>104</v>
      </c>
      <c r="B36" s="11" t="s">
        <v>105</v>
      </c>
      <c r="C36" s="9">
        <f>=H36+F36</f>
      </c>
      <c r="D36" s="30">
        <f>=I36+G36</f>
      </c>
      <c r="E36" s="30">
        <f>=D36/C36</f>
      </c>
      <c r="F36" s="9">
        <v>3.5</v>
      </c>
      <c r="G36" s="11">
        <v>3344.46</v>
      </c>
      <c r="H36" s="9">
        <v>22</v>
      </c>
      <c r="I36" s="11">
        <v>17541.1</v>
      </c>
      <c r="J36" s="12" t="s">
        <v>41</v>
      </c>
      <c r="K36" s="14" t="s">
        <v>78</v>
      </c>
    </row>
    <row r="37" spans="1:11" hidden="1">
      <c r="A37" s="11" t="s">
        <v>106</v>
      </c>
      <c r="B37" s="11" t="s">
        <v>107</v>
      </c>
      <c r="C37" s="9">
        <f>=H37+F37</f>
      </c>
      <c r="D37" s="30">
        <f>=I37+G37</f>
      </c>
      <c r="E37" s="30">
        <f>=D37/C37</f>
      </c>
      <c r="F37" s="9">
        <v>37</v>
      </c>
      <c r="G37" s="11">
        <v>22822.61</v>
      </c>
      <c r="H37" s="9">
        <v>15.94</v>
      </c>
      <c r="I37" s="11">
        <v>17705.73</v>
      </c>
      <c r="J37" s="12" t="s">
        <v>41</v>
      </c>
      <c r="K37" s="14" t="s">
        <v>78</v>
      </c>
    </row>
    <row r="38" spans="1:11" hidden="1">
      <c r="A38" s="11" t="s">
        <v>108</v>
      </c>
      <c r="B38" s="11" t="s">
        <v>109</v>
      </c>
      <c r="C38" s="9">
        <f>=H38+F38</f>
      </c>
      <c r="D38" s="30">
        <f>=I38+G38</f>
      </c>
      <c r="E38" s="30">
        <f>=D38/C38</f>
      </c>
      <c r="F38" s="9">
        <v>4.8</v>
      </c>
      <c r="G38" s="11">
        <v>6376.37</v>
      </c>
      <c r="H38" s="9">
        <v>1.72</v>
      </c>
      <c r="I38" s="11">
        <v>1231.37</v>
      </c>
      <c r="J38" s="12" t="s">
        <v>41</v>
      </c>
      <c r="K38" s="14" t="s">
        <v>78</v>
      </c>
    </row>
    <row r="39" spans="1:11" hidden="1">
      <c r="A39" s="11" t="s">
        <v>110</v>
      </c>
      <c r="B39" s="11" t="s">
        <v>111</v>
      </c>
      <c r="C39" s="9">
        <f>=H39+F39</f>
      </c>
      <c r="D39" s="30">
        <f>=I39+G39</f>
      </c>
      <c r="E39" s="30">
        <f>=D39/C39</f>
      </c>
      <c r="F39" s="9">
        <v>19</v>
      </c>
      <c r="G39" s="11">
        <v>10917.17</v>
      </c>
      <c r="H39" s="9">
        <v>105</v>
      </c>
      <c r="I39" s="11">
        <v>86878.09</v>
      </c>
      <c r="J39" s="12" t="s">
        <v>41</v>
      </c>
      <c r="K39" s="14" t="s">
        <v>78</v>
      </c>
    </row>
    <row r="40" spans="1:11" hidden="1">
      <c r="A40" s="11" t="s">
        <v>112</v>
      </c>
      <c r="B40" s="11" t="s">
        <v>113</v>
      </c>
      <c r="C40" s="9">
        <f>=H40+F40</f>
      </c>
      <c r="D40" s="30">
        <f>=I40+G40</f>
      </c>
      <c r="E40" s="30">
        <f>=D40/C40</f>
      </c>
      <c r="F40" s="9">
        <v>35.3</v>
      </c>
      <c r="G40" s="11">
        <v>35467.59</v>
      </c>
      <c r="H40" s="9">
        <v>4.5</v>
      </c>
      <c r="I40" s="11">
        <v>6068.2</v>
      </c>
      <c r="J40" s="12" t="s">
        <v>41</v>
      </c>
      <c r="K40" s="14" t="s">
        <v>78</v>
      </c>
    </row>
    <row r="41" spans="1:11" hidden="1">
      <c r="A41" s="11" t="s">
        <v>114</v>
      </c>
      <c r="B41" s="11" t="s">
        <v>115</v>
      </c>
      <c r="C41" s="9">
        <f>=H41+F41</f>
      </c>
      <c r="D41" s="30">
        <f>=I41+G41</f>
      </c>
      <c r="E41" s="30">
        <f>=D41/C41</f>
      </c>
      <c r="F41" s="9">
        <v>0</v>
      </c>
      <c r="G41" s="11">
        <v>0</v>
      </c>
      <c r="H41" s="9">
        <v>4.8</v>
      </c>
      <c r="I41" s="11">
        <v>4571.42</v>
      </c>
      <c r="J41" s="12" t="s">
        <v>41</v>
      </c>
      <c r="K41" s="14" t="s">
        <v>78</v>
      </c>
    </row>
    <row r="42" spans="1:11" hidden="1">
      <c r="A42" s="11" t="s">
        <v>116</v>
      </c>
      <c r="B42" s="11" t="s">
        <v>117</v>
      </c>
      <c r="C42" s="9">
        <f>=H42+F42</f>
      </c>
      <c r="D42" s="30">
        <f>=I42+G42</f>
      </c>
      <c r="E42" s="30">
        <f>=D42/C42</f>
      </c>
      <c r="F42" s="9">
        <v>22.6</v>
      </c>
      <c r="G42" s="11">
        <v>23271.83</v>
      </c>
      <c r="H42" s="9">
        <v>7.2</v>
      </c>
      <c r="I42" s="11">
        <v>5976.16</v>
      </c>
      <c r="J42" s="12" t="s">
        <v>41</v>
      </c>
      <c r="K42" s="14" t="s">
        <v>78</v>
      </c>
    </row>
    <row r="43" spans="1:11" hidden="1">
      <c r="A43" s="11" t="s">
        <v>118</v>
      </c>
      <c r="B43" s="11" t="s">
        <v>119</v>
      </c>
      <c r="C43" s="9">
        <f>=H43+F43</f>
      </c>
      <c r="D43" s="30">
        <f>=I43+G43</f>
      </c>
      <c r="E43" s="30">
        <f>=D43/C43</f>
      </c>
      <c r="F43" s="9">
        <v>12.8</v>
      </c>
      <c r="G43" s="11">
        <v>7640.67</v>
      </c>
      <c r="H43" s="9">
        <v>2</v>
      </c>
      <c r="I43" s="11">
        <v>2111.67</v>
      </c>
      <c r="J43" s="12" t="s">
        <v>41</v>
      </c>
      <c r="K43" s="14" t="s">
        <v>78</v>
      </c>
    </row>
    <row r="44" spans="1:11" hidden="1">
      <c r="A44" s="11" t="s">
        <v>120</v>
      </c>
      <c r="B44" s="11" t="s">
        <v>121</v>
      </c>
      <c r="C44" s="9">
        <f>=H44+F44</f>
      </c>
      <c r="D44" s="30">
        <f>=I44+G44</f>
      </c>
      <c r="E44" s="30">
        <f>=D44/C44</f>
      </c>
      <c r="F44" s="9">
        <v>8.7</v>
      </c>
      <c r="G44" s="11">
        <v>8949.47</v>
      </c>
      <c r="H44" s="9">
        <v>2</v>
      </c>
      <c r="I44" s="11">
        <v>2210.93</v>
      </c>
      <c r="J44" s="12" t="s">
        <v>41</v>
      </c>
      <c r="K44" s="14" t="s">
        <v>78</v>
      </c>
    </row>
    <row r="45" spans="1:11" hidden="1">
      <c r="A45" s="11" t="s">
        <v>122</v>
      </c>
      <c r="B45" s="11" t="s">
        <v>123</v>
      </c>
      <c r="C45" s="9">
        <f>=H45+F45</f>
      </c>
      <c r="D45" s="30">
        <f>=I45+G45</f>
      </c>
      <c r="E45" s="30">
        <f>=D45/C45</f>
      </c>
      <c r="F45" s="9">
        <v>2</v>
      </c>
      <c r="G45" s="11">
        <v>1948.33</v>
      </c>
      <c r="H45" s="9">
        <v>0</v>
      </c>
      <c r="I45" s="11">
        <v>0</v>
      </c>
      <c r="J45" s="12" t="s">
        <v>41</v>
      </c>
      <c r="K45" s="14" t="s">
        <v>78</v>
      </c>
    </row>
    <row r="46" spans="1:11" hidden="1">
      <c r="A46" s="11" t="s">
        <v>124</v>
      </c>
      <c r="B46" s="11" t="s">
        <v>125</v>
      </c>
      <c r="C46" s="9">
        <f>=H46+F46</f>
      </c>
      <c r="D46" s="30">
        <f>=I46+G46</f>
      </c>
      <c r="E46" s="30">
        <f>=D46/C46</f>
      </c>
      <c r="F46" s="9">
        <v>5</v>
      </c>
      <c r="G46" s="11">
        <v>4517.85</v>
      </c>
      <c r="H46" s="9">
        <v>2</v>
      </c>
      <c r="I46" s="11">
        <v>1279.36</v>
      </c>
      <c r="J46" s="12" t="s">
        <v>41</v>
      </c>
      <c r="K46" s="14" t="s">
        <v>78</v>
      </c>
    </row>
    <row r="47" spans="1:11" hidden="1">
      <c r="A47" s="11" t="s">
        <v>126</v>
      </c>
      <c r="B47" s="11" t="s">
        <v>127</v>
      </c>
      <c r="C47" s="9">
        <f>=H47+F47</f>
      </c>
      <c r="D47" s="30">
        <f>=I47+G47</f>
      </c>
      <c r="E47" s="30">
        <f>=D47/C47</f>
      </c>
      <c r="F47" s="9">
        <v>5</v>
      </c>
      <c r="G47" s="11">
        <v>5386.11</v>
      </c>
      <c r="H47" s="9">
        <v>38.4</v>
      </c>
      <c r="I47" s="11">
        <v>30496.44</v>
      </c>
      <c r="J47" s="12" t="s">
        <v>41</v>
      </c>
      <c r="K47" s="14" t="s">
        <v>78</v>
      </c>
    </row>
    <row r="48" spans="1:11" hidden="1">
      <c r="A48" s="11" t="s">
        <v>128</v>
      </c>
      <c r="B48" s="11" t="s">
        <v>129</v>
      </c>
      <c r="C48" s="9">
        <f>=H48+F48</f>
      </c>
      <c r="D48" s="30">
        <f>=I48+G48</f>
      </c>
      <c r="E48" s="30">
        <f>=D48/C48</f>
      </c>
      <c r="F48" s="9">
        <v>0.2</v>
      </c>
      <c r="G48" s="11">
        <v>180.71</v>
      </c>
      <c r="H48" s="9">
        <v>0</v>
      </c>
      <c r="I48" s="11">
        <v>0</v>
      </c>
      <c r="J48" s="12" t="s">
        <v>41</v>
      </c>
      <c r="K48" s="14" t="s">
        <v>78</v>
      </c>
    </row>
    <row r="49" spans="1:11">
      <c r="A49" s="11" t="s">
        <v>130</v>
      </c>
      <c r="B49" s="11" t="s">
        <v>131</v>
      </c>
      <c r="C49" s="9">
        <f>=H49+F49</f>
      </c>
      <c r="D49" s="30">
        <f>=I49+G49</f>
      </c>
      <c r="E49" s="30">
        <f>=D49/C49</f>
      </c>
      <c r="F49" s="9">
        <v>1.5</v>
      </c>
      <c r="G49" s="11">
        <v>1731.95</v>
      </c>
      <c r="H49" s="9">
        <v>0</v>
      </c>
      <c r="I49" s="11">
        <v>0</v>
      </c>
      <c r="J49" s="12" t="s">
        <v>37</v>
      </c>
      <c r="K49" s="14" t="s">
        <v>78</v>
      </c>
    </row>
    <row r="50" spans="1:11" hidden="1">
      <c r="A50" s="11" t="s">
        <v>132</v>
      </c>
      <c r="B50" s="11" t="s">
        <v>133</v>
      </c>
      <c r="C50" s="9">
        <f>=H50+F50</f>
      </c>
      <c r="D50" s="30">
        <f>=I50+G50</f>
      </c>
      <c r="E50" s="30">
        <f>=D50/C50</f>
      </c>
      <c r="F50" s="9">
        <v>0</v>
      </c>
      <c r="G50" s="11">
        <v>0</v>
      </c>
      <c r="H50" s="9">
        <v>11</v>
      </c>
      <c r="I50" s="11">
        <v>11061.77</v>
      </c>
      <c r="J50" s="12" t="s">
        <v>41</v>
      </c>
      <c r="K50" s="14" t="s">
        <v>78</v>
      </c>
    </row>
    <row r="51" spans="1:11" hidden="1">
      <c r="A51" s="11" t="s">
        <v>134</v>
      </c>
      <c r="B51" s="11" t="s">
        <v>135</v>
      </c>
      <c r="C51" s="9">
        <f>=H51+F51</f>
      </c>
      <c r="D51" s="30">
        <f>=I51+G51</f>
      </c>
      <c r="E51" s="30">
        <f>=D51/C51</f>
      </c>
      <c r="F51" s="11">
        <v>2.4</v>
      </c>
      <c r="G51" s="11">
        <v>2866.88</v>
      </c>
      <c r="H51" s="9">
        <v>0</v>
      </c>
      <c r="I51" s="11">
        <v>0</v>
      </c>
      <c r="J51" s="12" t="s">
        <v>41</v>
      </c>
      <c r="K51" s="14" t="s">
        <v>78</v>
      </c>
    </row>
    <row r="52" spans="1:11">
      <c r="A52" s="11" t="s">
        <v>136</v>
      </c>
      <c r="B52" s="11" t="s">
        <v>137</v>
      </c>
      <c r="C52" s="9">
        <f>=H52+F52</f>
      </c>
      <c r="D52" s="30">
        <f>=I52+G52</f>
      </c>
      <c r="E52" s="30">
        <f>=D52/C52</f>
      </c>
      <c r="F52" s="11">
        <v>0.5</v>
      </c>
      <c r="G52" s="11">
        <v>606.75</v>
      </c>
      <c r="H52" s="9">
        <v>0</v>
      </c>
      <c r="I52" s="11">
        <v>0</v>
      </c>
      <c r="J52" s="12" t="s">
        <v>37</v>
      </c>
      <c r="K52" s="14" t="s">
        <v>78</v>
      </c>
    </row>
    <row r="53" spans="1:11" hidden="1">
      <c r="A53" s="11" t="s">
        <v>138</v>
      </c>
      <c r="B53" s="11" t="s">
        <v>139</v>
      </c>
      <c r="C53" s="9">
        <f>=H53+F53</f>
      </c>
      <c r="D53" s="30">
        <f>=I53+G53</f>
      </c>
      <c r="E53" s="30">
        <f>=D53/C53</f>
      </c>
      <c r="F53" s="11">
        <v>3.6</v>
      </c>
      <c r="G53" s="11">
        <v>3291.36</v>
      </c>
      <c r="H53" s="11">
        <v>0</v>
      </c>
      <c r="I53" s="11">
        <v>0</v>
      </c>
      <c r="J53" s="12" t="s">
        <v>41</v>
      </c>
      <c r="K53" s="14" t="s">
        <v>78</v>
      </c>
    </row>
    <row r="57" spans="3:6">
      <c r="C57" s="28" t="s"/>
      <c r="E57" s="28" t="s">
        <v>4</v>
      </c>
      <c r="F57" s="4">
        <f>=SUMIF(J3:J53,"是",G3:G53)</f>
      </c>
    </row>
    <row r="58" spans="3:6">
      <c r="C58" s="28" t="s"/>
      <c r="E58" s="28" t="s">
        <v>5</v>
      </c>
      <c r="F58" s="4">
        <f>=SUM(I3:I53)</f>
      </c>
    </row>
    <row r="59" spans="3:6">
      <c r="C59" s="28" t="s"/>
      <c r="E59" s="28" t="s">
        <v>8</v>
      </c>
      <c r="F59" s="4">
        <f>=SUMIF(J3:J53,"非",G3:G53)</f>
      </c>
    </row>
    <row r="64" spans="5:5">
      <c r="E64" s="4">
        <v>210946.56</v>
      </c>
    </row>
  </sheetData>
  <autoFilter ref="J2:J53">
    <filterColumn colId="0">
      <filters blank="0">
        <filter val="非"/>
      </filters>
    </filterColumn>
    <sortState ref="J3:J53"/>
  </autoFilter>
  <mergeCells count="6">
    <mergeCell ref="H1:I1"/>
    <mergeCell ref="F1:G1"/>
    <mergeCell ref="A1:A2"/>
    <mergeCell ref="B1:B2"/>
    <mergeCell ref="D1:D2"/>
    <mergeCell ref="C1:C2"/>
  </mergeCells>
  <dataValidations>
    <dataValidation type="list" errorStyle="stop" allowBlank="1" showDropDown="0" showInputMessage="1" showErrorMessage="1" prompt="" sqref="J3:J53">
      <formula1>"非,是,"</formula1>
    </dataValidation>
    <dataValidation type="list" errorStyle="stop" allowBlank="1" showDropDown="0" showInputMessage="1" showErrorMessage="1" prompt="" sqref="K3:K53">
      <formula1>"商机,交付,"</formula1>
    </dataValidation>
  </dataValidations>
</worksheet>
</file>

<file path=xl/worksheets/sheet4.xml><?xml version="1.0" encoding="utf-8"?>
<worksheet xmlns="http://schemas.openxmlformats.org/spreadsheetml/2006/main">
  <sheetPr codeName="原始-部门">
    <tabColor/>
  </sheetPr>
  <dimension ref="K134"/>
  <sheetViews>
    <sheetView showGridLines="1" workbookViewId="0"/>
  </sheetViews>
  <sheetFormatPr baseColWidth="13" defaultRowHeight="18" customHeight="1"/>
  <cols>
    <col min="1" max="2" width="21.7109" customWidth="1"/>
    <col min="3" max="3" width="48.7109" customWidth="1"/>
    <col min="4" max="11" width="21.7109" customWidth="1"/>
  </cols>
  <sheetData>
    <row r="1" spans="1:1">
      <c r="A1" s="16" t="s">
        <v>140</v>
      </c>
    </row>
    <row r="2" spans="1:1">
      <c r="A2" s="17" t="s">
        <v>141</v>
      </c>
    </row>
    <row r="3" spans="1:11">
      <c r="A3" s="18" t="s">
        <v>142</v>
      </c>
      <c r="B3" s="18" t="s">
        <v>9</v>
      </c>
      <c r="C3" s="19" t="s">
        <v>143</v>
      </c>
      <c r="D3" s="18" t="s">
        <v>10</v>
      </c>
      <c r="E3" s="18" t="s">
        <v>144</v>
      </c>
      <c r="F3" s="18" t="s">
        <v>145</v>
      </c>
      <c r="G3" s="18" t="s">
        <v>146</v>
      </c>
      <c r="H3" s="18" t="s">
        <v>147</v>
      </c>
      <c r="I3" s="18" t="s">
        <v>148</v>
      </c>
      <c r="J3" s="18" t="s">
        <v>149</v>
      </c>
      <c r="K3" s="18" t="s">
        <v>150</v>
      </c>
    </row>
    <row r="4" spans="1:11">
      <c r="A4" s="18" t="s">
        <v>151</v>
      </c>
      <c r="B4" s="18" t="s">
        <v>21</v>
      </c>
      <c r="C4" s="19" t="s">
        <v>152</v>
      </c>
      <c r="D4" s="20">
        <v>0.3</v>
      </c>
      <c r="E4" s="21">
        <v>258.75</v>
      </c>
      <c r="F4" s="18" t="s">
        <v>153</v>
      </c>
      <c r="G4" s="18" t="s">
        <v>154</v>
      </c>
      <c r="H4" s="18" t="s">
        <v>155</v>
      </c>
      <c r="I4" s="22">
        <v>46112</v>
      </c>
      <c r="J4" s="22">
        <v>46104</v>
      </c>
      <c r="K4" s="22">
        <v>46110</v>
      </c>
    </row>
    <row r="5" spans="1:11" hidden="1">
      <c r="A5" s="18" t="s">
        <v>151</v>
      </c>
      <c r="B5" s="18" t="s">
        <v>22</v>
      </c>
      <c r="C5" s="19" t="s">
        <v>156</v>
      </c>
      <c r="D5" s="20">
        <v>0.5</v>
      </c>
      <c r="E5" s="21">
        <v>714.02</v>
      </c>
      <c r="F5" s="18" t="s">
        <v>157</v>
      </c>
      <c r="G5" s="18" t="s">
        <v>158</v>
      </c>
      <c r="H5" s="18" t="s">
        <v>151</v>
      </c>
      <c r="I5" s="22">
        <v>46111</v>
      </c>
      <c r="J5" s="22">
        <v>46104</v>
      </c>
      <c r="K5" s="22">
        <v>46110</v>
      </c>
    </row>
    <row r="6" spans="1:11" hidden="1">
      <c r="A6" s="18" t="s">
        <v>151</v>
      </c>
      <c r="B6" s="18" t="s">
        <v>13</v>
      </c>
      <c r="C6" s="19" t="s">
        <v>159</v>
      </c>
      <c r="D6" s="20">
        <v>1.5</v>
      </c>
      <c r="E6" s="21">
        <v>2142.05</v>
      </c>
      <c r="F6" s="18" t="s">
        <v>157</v>
      </c>
      <c r="G6" s="18" t="s">
        <v>158</v>
      </c>
      <c r="H6" s="18" t="s">
        <v>151</v>
      </c>
      <c r="I6" s="22">
        <v>46111</v>
      </c>
      <c r="J6" s="22">
        <v>46104</v>
      </c>
      <c r="K6" s="22">
        <v>46110</v>
      </c>
    </row>
    <row r="7" spans="1:11" hidden="1">
      <c r="A7" s="18" t="s">
        <v>151</v>
      </c>
      <c r="B7" s="18" t="s">
        <v>13</v>
      </c>
      <c r="C7" s="19" t="s">
        <v>160</v>
      </c>
      <c r="D7" s="20">
        <v>1</v>
      </c>
      <c r="E7" s="21">
        <v>1158.33</v>
      </c>
      <c r="F7" s="18" t="s">
        <v>157</v>
      </c>
      <c r="G7" s="18" t="s">
        <v>161</v>
      </c>
      <c r="H7" s="18" t="s">
        <v>151</v>
      </c>
      <c r="I7" s="22">
        <v>46108</v>
      </c>
      <c r="J7" s="22">
        <v>46104</v>
      </c>
      <c r="K7" s="22">
        <v>46110</v>
      </c>
    </row>
    <row r="8" spans="1:11" hidden="1">
      <c r="A8" s="18" t="s">
        <v>151</v>
      </c>
      <c r="B8" s="18" t="s">
        <v>13</v>
      </c>
      <c r="C8" s="19" t="s">
        <v>162</v>
      </c>
      <c r="D8" s="20">
        <v>0.5</v>
      </c>
      <c r="E8" s="21">
        <v>579.17</v>
      </c>
      <c r="F8" s="18" t="s">
        <v>157</v>
      </c>
      <c r="G8" s="18" t="s">
        <v>161</v>
      </c>
      <c r="H8" s="18" t="s">
        <v>151</v>
      </c>
      <c r="I8" s="22">
        <v>46108</v>
      </c>
      <c r="J8" s="22">
        <v>46104</v>
      </c>
      <c r="K8" s="22">
        <v>46110</v>
      </c>
    </row>
    <row r="9" spans="1:11" hidden="1">
      <c r="A9" s="18" t="s">
        <v>151</v>
      </c>
      <c r="B9" s="18" t="s">
        <v>14</v>
      </c>
      <c r="C9" s="19" t="s">
        <v>163</v>
      </c>
      <c r="D9" s="20">
        <v>0.2</v>
      </c>
      <c r="E9" s="21">
        <v>231.67</v>
      </c>
      <c r="F9" s="18" t="s">
        <v>157</v>
      </c>
      <c r="G9" s="18" t="s">
        <v>161</v>
      </c>
      <c r="H9" s="18" t="s">
        <v>151</v>
      </c>
      <c r="I9" s="22">
        <v>46108</v>
      </c>
      <c r="J9" s="22">
        <v>46104</v>
      </c>
      <c r="K9" s="22">
        <v>46110</v>
      </c>
    </row>
    <row r="10" spans="1:11" hidden="1">
      <c r="A10" s="18" t="s">
        <v>151</v>
      </c>
      <c r="B10" s="18" t="s">
        <v>15</v>
      </c>
      <c r="C10" s="19" t="s">
        <v>164</v>
      </c>
      <c r="D10" s="20">
        <v>2</v>
      </c>
      <c r="E10" s="21">
        <v>1994.7</v>
      </c>
      <c r="F10" s="18" t="s">
        <v>157</v>
      </c>
      <c r="G10" s="18" t="s">
        <v>165</v>
      </c>
      <c r="H10" s="18" t="s">
        <v>151</v>
      </c>
      <c r="I10" s="22">
        <v>46113</v>
      </c>
      <c r="J10" s="22">
        <v>46104</v>
      </c>
      <c r="K10" s="22">
        <v>46110</v>
      </c>
    </row>
    <row r="11" spans="1:11" hidden="1">
      <c r="A11" s="18" t="s">
        <v>151</v>
      </c>
      <c r="B11" s="18" t="s">
        <v>13</v>
      </c>
      <c r="C11" s="19" t="s">
        <v>166</v>
      </c>
      <c r="D11" s="20">
        <v>0.5</v>
      </c>
      <c r="E11" s="21">
        <v>357.96</v>
      </c>
      <c r="F11" s="18" t="s">
        <v>157</v>
      </c>
      <c r="G11" s="18" t="s">
        <v>167</v>
      </c>
      <c r="H11" s="18" t="s">
        <v>151</v>
      </c>
      <c r="I11" s="22">
        <v>46113</v>
      </c>
      <c r="J11" s="22">
        <v>46104</v>
      </c>
      <c r="K11" s="22">
        <v>46110</v>
      </c>
    </row>
    <row r="12" spans="1:11" hidden="1">
      <c r="A12" s="18" t="s">
        <v>151</v>
      </c>
      <c r="B12" s="18" t="s">
        <v>13</v>
      </c>
      <c r="C12" s="19" t="s">
        <v>168</v>
      </c>
      <c r="D12" s="20">
        <v>3</v>
      </c>
      <c r="E12" s="21">
        <v>4284.09</v>
      </c>
      <c r="F12" s="18" t="s">
        <v>153</v>
      </c>
      <c r="G12" s="18" t="s">
        <v>158</v>
      </c>
      <c r="H12" s="18" t="s">
        <v>151</v>
      </c>
      <c r="I12" s="22">
        <v>46104</v>
      </c>
      <c r="J12" s="22">
        <v>46097</v>
      </c>
      <c r="K12" s="22">
        <v>46103</v>
      </c>
    </row>
    <row r="13" spans="1:11">
      <c r="A13" s="18" t="s">
        <v>151</v>
      </c>
      <c r="B13" s="18" t="s">
        <v>23</v>
      </c>
      <c r="C13" s="19" t="s">
        <v>169</v>
      </c>
      <c r="D13" s="20">
        <v>1</v>
      </c>
      <c r="E13" s="21">
        <v>1158.33</v>
      </c>
      <c r="F13" s="18" t="s">
        <v>157</v>
      </c>
      <c r="G13" s="18" t="s">
        <v>161</v>
      </c>
      <c r="H13" s="18" t="s">
        <v>151</v>
      </c>
      <c r="I13" s="22">
        <v>46101</v>
      </c>
      <c r="J13" s="22">
        <v>46097</v>
      </c>
      <c r="K13" s="22">
        <v>46103</v>
      </c>
    </row>
    <row r="14" spans="1:11" hidden="1">
      <c r="A14" s="18" t="s">
        <v>151</v>
      </c>
      <c r="B14" s="18" t="s">
        <v>14</v>
      </c>
      <c r="C14" s="19" t="s">
        <v>170</v>
      </c>
      <c r="D14" s="20">
        <v>0.3</v>
      </c>
      <c r="E14" s="21">
        <v>347.5</v>
      </c>
      <c r="F14" s="18" t="s">
        <v>157</v>
      </c>
      <c r="G14" s="18" t="s">
        <v>161</v>
      </c>
      <c r="H14" s="18" t="s">
        <v>151</v>
      </c>
      <c r="I14" s="22">
        <v>46101</v>
      </c>
      <c r="J14" s="22">
        <v>46097</v>
      </c>
      <c r="K14" s="22">
        <v>46103</v>
      </c>
    </row>
    <row r="15" spans="1:11" hidden="1">
      <c r="A15" s="18" t="s">
        <v>151</v>
      </c>
      <c r="B15" s="18" t="s">
        <v>15</v>
      </c>
      <c r="C15" s="19" t="s">
        <v>171</v>
      </c>
      <c r="D15" s="20">
        <v>2.5</v>
      </c>
      <c r="E15" s="21">
        <v>2493.38</v>
      </c>
      <c r="F15" s="18" t="s">
        <v>157</v>
      </c>
      <c r="G15" s="18" t="s">
        <v>165</v>
      </c>
      <c r="H15" s="18" t="s">
        <v>151</v>
      </c>
      <c r="I15" s="22">
        <v>46113</v>
      </c>
      <c r="J15" s="22">
        <v>46097</v>
      </c>
      <c r="K15" s="22">
        <v>46103</v>
      </c>
    </row>
    <row r="16" spans="1:11" hidden="1">
      <c r="A16" s="18" t="s">
        <v>151</v>
      </c>
      <c r="B16" s="18" t="s">
        <v>14</v>
      </c>
      <c r="C16" s="23" t="s">
        <v>172</v>
      </c>
      <c r="D16" s="20">
        <v>1.5</v>
      </c>
      <c r="E16" s="21">
        <v>1496.03</v>
      </c>
      <c r="F16" s="18" t="s">
        <v>157</v>
      </c>
      <c r="G16" s="18" t="s">
        <v>165</v>
      </c>
      <c r="H16" s="18" t="s">
        <v>151</v>
      </c>
      <c r="I16" s="22">
        <v>46113</v>
      </c>
      <c r="J16" s="22">
        <v>46097</v>
      </c>
      <c r="K16" s="22">
        <v>46103</v>
      </c>
    </row>
    <row r="17" spans="1:11" hidden="1">
      <c r="A17" s="18" t="s">
        <v>151</v>
      </c>
      <c r="B17" s="18" t="s">
        <v>14</v>
      </c>
      <c r="C17" s="19" t="s">
        <v>173</v>
      </c>
      <c r="D17" s="20">
        <v>0.5</v>
      </c>
      <c r="E17" s="21">
        <v>714.02</v>
      </c>
      <c r="F17" s="18" t="s">
        <v>153</v>
      </c>
      <c r="G17" s="18" t="s">
        <v>158</v>
      </c>
      <c r="H17" s="18" t="s">
        <v>151</v>
      </c>
      <c r="I17" s="22">
        <v>46098</v>
      </c>
      <c r="J17" s="22">
        <v>46090</v>
      </c>
      <c r="K17" s="22">
        <v>46096</v>
      </c>
    </row>
    <row r="18" spans="1:11" hidden="1">
      <c r="A18" s="18" t="s">
        <v>151</v>
      </c>
      <c r="B18" s="18" t="s">
        <v>13</v>
      </c>
      <c r="C18" s="19" t="s">
        <v>174</v>
      </c>
      <c r="D18" s="20">
        <v>1</v>
      </c>
      <c r="E18" s="21">
        <v>1428.03</v>
      </c>
      <c r="F18" s="18" t="s">
        <v>153</v>
      </c>
      <c r="G18" s="18" t="s">
        <v>158</v>
      </c>
      <c r="H18" s="18" t="s">
        <v>151</v>
      </c>
      <c r="I18" s="22">
        <v>46098</v>
      </c>
      <c r="J18" s="22">
        <v>46090</v>
      </c>
      <c r="K18" s="22">
        <v>46096</v>
      </c>
    </row>
    <row r="19" spans="1:11" hidden="1">
      <c r="A19" s="18" t="s">
        <v>151</v>
      </c>
      <c r="B19" s="18" t="s">
        <v>14</v>
      </c>
      <c r="C19" s="19" t="s">
        <v>175</v>
      </c>
      <c r="D19" s="20">
        <v>0.3</v>
      </c>
      <c r="E19" s="21">
        <v>347.5</v>
      </c>
      <c r="F19" s="18" t="s">
        <v>153</v>
      </c>
      <c r="G19" s="18" t="s">
        <v>161</v>
      </c>
      <c r="H19" s="18" t="s">
        <v>151</v>
      </c>
      <c r="I19" s="22">
        <v>46096</v>
      </c>
      <c r="J19" s="22">
        <v>46090</v>
      </c>
      <c r="K19" s="22">
        <v>46096</v>
      </c>
    </row>
    <row r="20" spans="1:11">
      <c r="A20" s="18" t="s">
        <v>151</v>
      </c>
      <c r="B20" s="18" t="s">
        <v>23</v>
      </c>
      <c r="C20" s="19" t="s">
        <v>176</v>
      </c>
      <c r="D20" s="20">
        <v>0.2</v>
      </c>
      <c r="E20" s="21">
        <v>231.67</v>
      </c>
      <c r="F20" s="18" t="s">
        <v>153</v>
      </c>
      <c r="G20" s="18" t="s">
        <v>161</v>
      </c>
      <c r="H20" s="18" t="s">
        <v>151</v>
      </c>
      <c r="I20" s="22">
        <v>46096</v>
      </c>
      <c r="J20" s="22">
        <v>46090</v>
      </c>
      <c r="K20" s="22">
        <v>46096</v>
      </c>
    </row>
    <row r="21" spans="1:11" hidden="1">
      <c r="A21" s="18" t="s">
        <v>151</v>
      </c>
      <c r="B21" s="18" t="s">
        <v>15</v>
      </c>
      <c r="C21" s="23" t="s">
        <v>177</v>
      </c>
      <c r="D21" s="20">
        <v>2</v>
      </c>
      <c r="E21" s="21">
        <v>1994.7</v>
      </c>
      <c r="F21" s="18" t="s">
        <v>153</v>
      </c>
      <c r="G21" s="18" t="s">
        <v>165</v>
      </c>
      <c r="H21" s="18" t="s">
        <v>151</v>
      </c>
      <c r="I21" s="22">
        <v>46101</v>
      </c>
      <c r="J21" s="22">
        <v>46090</v>
      </c>
      <c r="K21" s="22">
        <v>46096</v>
      </c>
    </row>
    <row r="22" spans="1:11" hidden="1">
      <c r="A22" s="18" t="s">
        <v>151</v>
      </c>
      <c r="B22" s="18" t="s">
        <v>14</v>
      </c>
      <c r="C22" s="23" t="s">
        <v>178</v>
      </c>
      <c r="D22" s="20">
        <v>3</v>
      </c>
      <c r="E22" s="21">
        <v>2992.05</v>
      </c>
      <c r="F22" s="18" t="s">
        <v>153</v>
      </c>
      <c r="G22" s="18" t="s">
        <v>165</v>
      </c>
      <c r="H22" s="18" t="s">
        <v>151</v>
      </c>
      <c r="I22" s="22">
        <v>46101</v>
      </c>
      <c r="J22" s="22">
        <v>46090</v>
      </c>
      <c r="K22" s="22">
        <v>46096</v>
      </c>
    </row>
    <row r="23" spans="1:11" hidden="1">
      <c r="A23" s="18" t="s">
        <v>151</v>
      </c>
      <c r="B23" s="18" t="s">
        <v>13</v>
      </c>
      <c r="C23" s="19" t="s">
        <v>179</v>
      </c>
      <c r="D23" s="20">
        <v>2.5</v>
      </c>
      <c r="E23" s="21">
        <v>3570.08</v>
      </c>
      <c r="F23" s="18" t="s">
        <v>153</v>
      </c>
      <c r="G23" s="18" t="s">
        <v>158</v>
      </c>
      <c r="H23" s="18" t="s">
        <v>151</v>
      </c>
      <c r="I23" s="22">
        <v>46092</v>
      </c>
      <c r="J23" s="22">
        <v>46083</v>
      </c>
      <c r="K23" s="22">
        <v>46089</v>
      </c>
    </row>
    <row r="24" spans="1:11" hidden="1">
      <c r="A24" s="18" t="s">
        <v>151</v>
      </c>
      <c r="B24" s="18" t="s">
        <v>14</v>
      </c>
      <c r="C24" s="19" t="s">
        <v>180</v>
      </c>
      <c r="D24" s="20">
        <v>2</v>
      </c>
      <c r="E24" s="21">
        <v>2316.66</v>
      </c>
      <c r="F24" s="18" t="s">
        <v>153</v>
      </c>
      <c r="G24" s="18" t="s">
        <v>161</v>
      </c>
      <c r="H24" s="18" t="s">
        <v>151</v>
      </c>
      <c r="I24" s="22">
        <v>46090</v>
      </c>
      <c r="J24" s="22">
        <v>46083</v>
      </c>
      <c r="K24" s="22">
        <v>46089</v>
      </c>
    </row>
    <row r="25" spans="1:11" hidden="1">
      <c r="A25" s="18" t="s">
        <v>151</v>
      </c>
      <c r="B25" s="18" t="s">
        <v>13</v>
      </c>
      <c r="C25" s="19" t="s">
        <v>181</v>
      </c>
      <c r="D25" s="20">
        <v>0.2</v>
      </c>
      <c r="E25" s="21">
        <v>231.67</v>
      </c>
      <c r="F25" s="18" t="s">
        <v>153</v>
      </c>
      <c r="G25" s="18" t="s">
        <v>161</v>
      </c>
      <c r="H25" s="18" t="s">
        <v>151</v>
      </c>
      <c r="I25" s="22">
        <v>46090</v>
      </c>
      <c r="J25" s="22">
        <v>46083</v>
      </c>
      <c r="K25" s="22">
        <v>46089</v>
      </c>
    </row>
    <row r="26" spans="1:11">
      <c r="A26" s="18" t="s">
        <v>151</v>
      </c>
      <c r="B26" s="18" t="s">
        <v>20</v>
      </c>
      <c r="C26" s="19" t="s">
        <v>182</v>
      </c>
      <c r="D26" s="20">
        <v>1</v>
      </c>
      <c r="E26" s="21">
        <v>1158.33</v>
      </c>
      <c r="F26" s="18" t="s">
        <v>153</v>
      </c>
      <c r="G26" s="18" t="s">
        <v>161</v>
      </c>
      <c r="H26" s="18" t="s">
        <v>151</v>
      </c>
      <c r="I26" s="22">
        <v>46090</v>
      </c>
      <c r="J26" s="22">
        <v>46083</v>
      </c>
      <c r="K26" s="22">
        <v>46089</v>
      </c>
    </row>
    <row r="27" spans="1:11" hidden="1">
      <c r="A27" s="18" t="s">
        <v>151</v>
      </c>
      <c r="B27" s="18" t="s">
        <v>13</v>
      </c>
      <c r="C27" s="19" t="s">
        <v>183</v>
      </c>
      <c r="D27" s="20">
        <v>4</v>
      </c>
      <c r="E27" s="21">
        <v>3450</v>
      </c>
      <c r="F27" s="18" t="s">
        <v>153</v>
      </c>
      <c r="G27" s="18" t="s">
        <v>184</v>
      </c>
      <c r="H27" s="18" t="s">
        <v>151</v>
      </c>
      <c r="I27" s="22">
        <v>46085</v>
      </c>
      <c r="J27" s="22">
        <v>46083</v>
      </c>
      <c r="K27" s="22">
        <v>46089</v>
      </c>
    </row>
    <row r="28" spans="1:11" hidden="1">
      <c r="A28" s="18" t="s">
        <v>151</v>
      </c>
      <c r="B28" s="18" t="s">
        <v>15</v>
      </c>
      <c r="C28" s="19" t="s">
        <v>185</v>
      </c>
      <c r="D28" s="20">
        <v>1</v>
      </c>
      <c r="E28" s="21">
        <v>997.35</v>
      </c>
      <c r="F28" s="18" t="s">
        <v>153</v>
      </c>
      <c r="G28" s="18" t="s">
        <v>165</v>
      </c>
      <c r="H28" s="18" t="s">
        <v>151</v>
      </c>
      <c r="I28" s="22">
        <v>46094</v>
      </c>
      <c r="J28" s="22">
        <v>46083</v>
      </c>
      <c r="K28" s="22">
        <v>46089</v>
      </c>
    </row>
    <row r="29" spans="1:11" hidden="1">
      <c r="A29" s="18" t="s">
        <v>151</v>
      </c>
      <c r="B29" s="18" t="s">
        <v>14</v>
      </c>
      <c r="C29" s="23" t="s">
        <v>186</v>
      </c>
      <c r="D29" s="20">
        <v>2</v>
      </c>
      <c r="E29" s="21">
        <v>1994.7</v>
      </c>
      <c r="F29" s="18" t="s">
        <v>153</v>
      </c>
      <c r="G29" s="18" t="s">
        <v>165</v>
      </c>
      <c r="H29" s="18" t="s">
        <v>151</v>
      </c>
      <c r="I29" s="22">
        <v>46094</v>
      </c>
      <c r="J29" s="22">
        <v>46083</v>
      </c>
      <c r="K29" s="22">
        <v>46089</v>
      </c>
    </row>
    <row r="30" spans="1:11" hidden="1">
      <c r="A30" s="18" t="s">
        <v>151</v>
      </c>
      <c r="B30" s="18" t="s">
        <v>18</v>
      </c>
      <c r="C30" s="19" t="s">
        <v>187</v>
      </c>
      <c r="D30" s="20">
        <v>2.5</v>
      </c>
      <c r="E30" s="21">
        <v>1789.78</v>
      </c>
      <c r="F30" s="18" t="s">
        <v>153</v>
      </c>
      <c r="G30" s="18" t="s">
        <v>188</v>
      </c>
      <c r="H30" s="18" t="s">
        <v>151</v>
      </c>
      <c r="I30" s="22">
        <v>46091</v>
      </c>
      <c r="J30" s="22">
        <v>46083</v>
      </c>
      <c r="K30" s="22">
        <v>46089</v>
      </c>
    </row>
    <row r="31" spans="1:11" hidden="1">
      <c r="A31" s="18" t="s">
        <v>151</v>
      </c>
      <c r="B31" s="18" t="s">
        <v>13</v>
      </c>
      <c r="C31" s="19" t="s">
        <v>174</v>
      </c>
      <c r="D31" s="20">
        <v>2</v>
      </c>
      <c r="E31" s="21">
        <v>3927.08</v>
      </c>
      <c r="F31" s="18" t="s">
        <v>153</v>
      </c>
      <c r="G31" s="18" t="s">
        <v>158</v>
      </c>
      <c r="H31" s="18" t="s">
        <v>151</v>
      </c>
      <c r="I31" s="22">
        <v>46092</v>
      </c>
      <c r="J31" s="22">
        <v>46076</v>
      </c>
      <c r="K31" s="22">
        <v>46082</v>
      </c>
    </row>
    <row r="32" spans="1:11" hidden="1">
      <c r="A32" s="18" t="s">
        <v>151</v>
      </c>
      <c r="B32" s="18" t="s">
        <v>16</v>
      </c>
      <c r="C32" s="19" t="s">
        <v>189</v>
      </c>
      <c r="D32" s="20">
        <v>0.5</v>
      </c>
      <c r="E32" s="21">
        <v>981.77</v>
      </c>
      <c r="F32" s="18" t="s">
        <v>153</v>
      </c>
      <c r="G32" s="18" t="s">
        <v>158</v>
      </c>
      <c r="H32" s="18" t="s">
        <v>151</v>
      </c>
      <c r="I32" s="22">
        <v>46092</v>
      </c>
      <c r="J32" s="22">
        <v>46076</v>
      </c>
      <c r="K32" s="22">
        <v>46082</v>
      </c>
    </row>
    <row r="33" spans="1:11">
      <c r="A33" s="18" t="s">
        <v>151</v>
      </c>
      <c r="B33" s="18" t="s">
        <v>20</v>
      </c>
      <c r="C33" s="19" t="s">
        <v>190</v>
      </c>
      <c r="D33" s="20">
        <v>0.65</v>
      </c>
      <c r="E33" s="21">
        <v>1035.26</v>
      </c>
      <c r="F33" s="18" t="s">
        <v>153</v>
      </c>
      <c r="G33" s="18" t="s">
        <v>161</v>
      </c>
      <c r="H33" s="18" t="s">
        <v>151</v>
      </c>
      <c r="I33" s="22">
        <v>46083</v>
      </c>
      <c r="J33" s="22">
        <v>46076</v>
      </c>
      <c r="K33" s="22">
        <v>46082</v>
      </c>
    </row>
    <row r="34" spans="1:11" hidden="1">
      <c r="A34" s="18" t="s">
        <v>151</v>
      </c>
      <c r="B34" s="18" t="s">
        <v>13</v>
      </c>
      <c r="C34" s="19" t="s">
        <v>191</v>
      </c>
      <c r="D34" s="20">
        <v>0.4</v>
      </c>
      <c r="E34" s="21">
        <v>637.08</v>
      </c>
      <c r="F34" s="18" t="s">
        <v>153</v>
      </c>
      <c r="G34" s="18" t="s">
        <v>161</v>
      </c>
      <c r="H34" s="18" t="s">
        <v>151</v>
      </c>
      <c r="I34" s="22">
        <v>46083</v>
      </c>
      <c r="J34" s="22">
        <v>46076</v>
      </c>
      <c r="K34" s="22">
        <v>46082</v>
      </c>
    </row>
    <row r="35" spans="1:11" hidden="1">
      <c r="A35" s="18" t="s">
        <v>151</v>
      </c>
      <c r="B35" s="18" t="s">
        <v>14</v>
      </c>
      <c r="C35" s="19" t="s">
        <v>192</v>
      </c>
      <c r="D35" s="20">
        <v>0.3</v>
      </c>
      <c r="E35" s="21">
        <v>477.81</v>
      </c>
      <c r="F35" s="18" t="s">
        <v>153</v>
      </c>
      <c r="G35" s="18" t="s">
        <v>161</v>
      </c>
      <c r="H35" s="18" t="s">
        <v>151</v>
      </c>
      <c r="I35" s="22">
        <v>46083</v>
      </c>
      <c r="J35" s="22">
        <v>46076</v>
      </c>
      <c r="K35" s="22">
        <v>46082</v>
      </c>
    </row>
    <row r="36" spans="1:11" hidden="1">
      <c r="A36" s="18" t="s">
        <v>151</v>
      </c>
      <c r="B36" s="18" t="s">
        <v>13</v>
      </c>
      <c r="C36" s="19" t="s">
        <v>193</v>
      </c>
      <c r="D36" s="20">
        <v>1.5</v>
      </c>
      <c r="E36" s="21">
        <v>1778.91</v>
      </c>
      <c r="F36" s="18" t="s">
        <v>153</v>
      </c>
      <c r="G36" s="18" t="s">
        <v>184</v>
      </c>
      <c r="H36" s="18" t="s">
        <v>151</v>
      </c>
      <c r="I36" s="22">
        <v>46085</v>
      </c>
      <c r="J36" s="22">
        <v>46076</v>
      </c>
      <c r="K36" s="22">
        <v>46082</v>
      </c>
    </row>
    <row r="37" spans="1:11" hidden="1">
      <c r="A37" s="18" t="s">
        <v>151</v>
      </c>
      <c r="B37" s="18" t="s">
        <v>15</v>
      </c>
      <c r="C37" s="23" t="s">
        <v>194</v>
      </c>
      <c r="D37" s="20">
        <v>0.6</v>
      </c>
      <c r="E37" s="21">
        <v>822.81</v>
      </c>
      <c r="F37" s="18" t="s">
        <v>153</v>
      </c>
      <c r="G37" s="18" t="s">
        <v>165</v>
      </c>
      <c r="H37" s="18" t="s">
        <v>151</v>
      </c>
      <c r="I37" s="22">
        <v>46083</v>
      </c>
      <c r="J37" s="22">
        <v>46076</v>
      </c>
      <c r="K37" s="22">
        <v>46082</v>
      </c>
    </row>
    <row r="38" spans="1:11" hidden="1">
      <c r="A38" s="18" t="s">
        <v>151</v>
      </c>
      <c r="B38" s="18" t="s">
        <v>18</v>
      </c>
      <c r="C38" s="23" t="s">
        <v>195</v>
      </c>
      <c r="D38" s="20">
        <v>3</v>
      </c>
      <c r="E38" s="21">
        <v>2953.14</v>
      </c>
      <c r="F38" s="18" t="s">
        <v>153</v>
      </c>
      <c r="G38" s="18" t="s">
        <v>188</v>
      </c>
      <c r="H38" s="18" t="s">
        <v>151</v>
      </c>
      <c r="I38" s="22">
        <v>46091</v>
      </c>
      <c r="J38" s="22">
        <v>46076</v>
      </c>
      <c r="K38" s="22">
        <v>46082</v>
      </c>
    </row>
    <row r="39" spans="1:11" hidden="1">
      <c r="A39" s="18" t="s">
        <v>151</v>
      </c>
      <c r="B39" s="18" t="s">
        <v>18</v>
      </c>
      <c r="C39" s="19" t="s">
        <v>196</v>
      </c>
      <c r="D39" s="20">
        <v>1</v>
      </c>
      <c r="E39" s="21">
        <v>1963.54</v>
      </c>
      <c r="F39" s="18" t="s">
        <v>153</v>
      </c>
      <c r="G39" s="18" t="s">
        <v>158</v>
      </c>
      <c r="H39" s="18" t="s">
        <v>151</v>
      </c>
      <c r="I39" s="22">
        <v>46081</v>
      </c>
      <c r="J39" s="22">
        <v>46062</v>
      </c>
      <c r="K39" s="22">
        <v>46068</v>
      </c>
    </row>
    <row r="40" spans="1:11" hidden="1">
      <c r="A40" s="18" t="s">
        <v>151</v>
      </c>
      <c r="B40" s="18" t="s">
        <v>14</v>
      </c>
      <c r="C40" s="19" t="s">
        <v>197</v>
      </c>
      <c r="D40" s="20">
        <v>1</v>
      </c>
      <c r="E40" s="21">
        <v>1963.54</v>
      </c>
      <c r="F40" s="18" t="s">
        <v>153</v>
      </c>
      <c r="G40" s="18" t="s">
        <v>158</v>
      </c>
      <c r="H40" s="18" t="s">
        <v>151</v>
      </c>
      <c r="I40" s="22">
        <v>46081</v>
      </c>
      <c r="J40" s="22">
        <v>46062</v>
      </c>
      <c r="K40" s="22">
        <v>46068</v>
      </c>
    </row>
    <row r="41" spans="1:11" hidden="1">
      <c r="A41" s="18" t="s">
        <v>151</v>
      </c>
      <c r="B41" s="18" t="s">
        <v>13</v>
      </c>
      <c r="C41" s="19" t="s">
        <v>198</v>
      </c>
      <c r="D41" s="20">
        <v>1.5</v>
      </c>
      <c r="E41" s="21">
        <v>2945.31</v>
      </c>
      <c r="F41" s="18" t="s">
        <v>153</v>
      </c>
      <c r="G41" s="18" t="s">
        <v>158</v>
      </c>
      <c r="H41" s="18" t="s">
        <v>151</v>
      </c>
      <c r="I41" s="22">
        <v>46081</v>
      </c>
      <c r="J41" s="22">
        <v>46062</v>
      </c>
      <c r="K41" s="22">
        <v>46068</v>
      </c>
    </row>
    <row r="42" spans="1:11" hidden="1">
      <c r="A42" s="18" t="s">
        <v>151</v>
      </c>
      <c r="B42" s="18" t="s">
        <v>16</v>
      </c>
      <c r="C42" s="19" t="s">
        <v>199</v>
      </c>
      <c r="D42" s="20">
        <v>1</v>
      </c>
      <c r="E42" s="21">
        <v>1963.54</v>
      </c>
      <c r="F42" s="18" t="s">
        <v>153</v>
      </c>
      <c r="G42" s="18" t="s">
        <v>158</v>
      </c>
      <c r="H42" s="18" t="s">
        <v>151</v>
      </c>
      <c r="I42" s="22">
        <v>46081</v>
      </c>
      <c r="J42" s="22">
        <v>46062</v>
      </c>
      <c r="K42" s="22">
        <v>46068</v>
      </c>
    </row>
    <row r="43" spans="1:11">
      <c r="A43" s="18" t="s">
        <v>151</v>
      </c>
      <c r="B43" s="18" t="s">
        <v>19</v>
      </c>
      <c r="C43" s="19" t="s">
        <v>200</v>
      </c>
      <c r="D43" s="20">
        <v>1</v>
      </c>
      <c r="E43" s="21">
        <v>1592.71</v>
      </c>
      <c r="F43" s="18" t="s">
        <v>153</v>
      </c>
      <c r="G43" s="18" t="s">
        <v>161</v>
      </c>
      <c r="H43" s="18" t="s">
        <v>151</v>
      </c>
      <c r="I43" s="22">
        <v>46078</v>
      </c>
      <c r="J43" s="22">
        <v>46062</v>
      </c>
      <c r="K43" s="22">
        <v>46068</v>
      </c>
    </row>
    <row r="44" spans="1:11" hidden="1">
      <c r="A44" s="18" t="s">
        <v>151</v>
      </c>
      <c r="B44" s="18" t="s">
        <v>16</v>
      </c>
      <c r="C44" s="19" t="s">
        <v>201</v>
      </c>
      <c r="D44" s="20">
        <v>1</v>
      </c>
      <c r="E44" s="21">
        <v>1254.17</v>
      </c>
      <c r="F44" s="18" t="s">
        <v>153</v>
      </c>
      <c r="G44" s="18" t="s">
        <v>202</v>
      </c>
      <c r="H44" s="18" t="s">
        <v>151</v>
      </c>
      <c r="I44" s="22">
        <v>46083</v>
      </c>
      <c r="J44" s="22">
        <v>46062</v>
      </c>
      <c r="K44" s="22">
        <v>46068</v>
      </c>
    </row>
    <row r="45" spans="1:11" hidden="1">
      <c r="A45" s="18" t="s">
        <v>151</v>
      </c>
      <c r="B45" s="18" t="s">
        <v>16</v>
      </c>
      <c r="C45" s="19" t="s">
        <v>203</v>
      </c>
      <c r="D45" s="20">
        <v>1.5</v>
      </c>
      <c r="E45" s="21">
        <v>1881.26</v>
      </c>
      <c r="F45" s="18" t="s">
        <v>153</v>
      </c>
      <c r="G45" s="18" t="s">
        <v>202</v>
      </c>
      <c r="H45" s="18" t="s">
        <v>151</v>
      </c>
      <c r="I45" s="22">
        <v>46083</v>
      </c>
      <c r="J45" s="22">
        <v>46062</v>
      </c>
      <c r="K45" s="22">
        <v>46068</v>
      </c>
    </row>
    <row r="46" spans="1:11">
      <c r="A46" s="18" t="s">
        <v>151</v>
      </c>
      <c r="B46" s="18" t="s">
        <v>20</v>
      </c>
      <c r="C46" s="19" t="s">
        <v>204</v>
      </c>
      <c r="D46" s="20">
        <v>1</v>
      </c>
      <c r="E46" s="21">
        <v>1254.17</v>
      </c>
      <c r="F46" s="18" t="s">
        <v>153</v>
      </c>
      <c r="G46" s="18" t="s">
        <v>205</v>
      </c>
      <c r="H46" s="18" t="s">
        <v>151</v>
      </c>
      <c r="I46" s="22">
        <v>46080</v>
      </c>
      <c r="J46" s="22">
        <v>46062</v>
      </c>
      <c r="K46" s="22">
        <v>46068</v>
      </c>
    </row>
    <row r="47" spans="1:11" hidden="1">
      <c r="A47" s="18" t="s">
        <v>151</v>
      </c>
      <c r="B47" s="18" t="s">
        <v>22</v>
      </c>
      <c r="C47" s="19" t="s">
        <v>206</v>
      </c>
      <c r="D47" s="20">
        <v>0.5</v>
      </c>
      <c r="E47" s="21">
        <v>627.09</v>
      </c>
      <c r="F47" s="18" t="s">
        <v>153</v>
      </c>
      <c r="G47" s="18" t="s">
        <v>205</v>
      </c>
      <c r="H47" s="18" t="s">
        <v>151</v>
      </c>
      <c r="I47" s="22">
        <v>46080</v>
      </c>
      <c r="J47" s="22">
        <v>46062</v>
      </c>
      <c r="K47" s="22">
        <v>46068</v>
      </c>
    </row>
    <row r="48" spans="1:11" hidden="1">
      <c r="A48" s="18" t="s">
        <v>151</v>
      </c>
      <c r="B48" s="18" t="s">
        <v>13</v>
      </c>
      <c r="C48" s="19" t="s">
        <v>207</v>
      </c>
      <c r="D48" s="20">
        <v>2.5</v>
      </c>
      <c r="E48" s="21">
        <v>2964.85</v>
      </c>
      <c r="F48" s="18" t="s">
        <v>153</v>
      </c>
      <c r="G48" s="18" t="s">
        <v>184</v>
      </c>
      <c r="H48" s="18" t="s">
        <v>151</v>
      </c>
      <c r="I48" s="22">
        <v>46085</v>
      </c>
      <c r="J48" s="22">
        <v>46062</v>
      </c>
      <c r="K48" s="22">
        <v>46068</v>
      </c>
    </row>
    <row r="49" spans="1:11">
      <c r="A49" s="18" t="s">
        <v>151</v>
      </c>
      <c r="B49" s="18" t="s">
        <v>20</v>
      </c>
      <c r="C49" s="19" t="s">
        <v>208</v>
      </c>
      <c r="D49" s="20">
        <v>2</v>
      </c>
      <c r="E49" s="21">
        <v>2742.7</v>
      </c>
      <c r="F49" s="18" t="s">
        <v>153</v>
      </c>
      <c r="G49" s="18" t="s">
        <v>165</v>
      </c>
      <c r="H49" s="18" t="s">
        <v>151</v>
      </c>
      <c r="I49" s="22">
        <v>46067</v>
      </c>
      <c r="J49" s="22">
        <v>46062</v>
      </c>
      <c r="K49" s="22">
        <v>46068</v>
      </c>
    </row>
    <row r="50" spans="1:11">
      <c r="A50" s="18" t="s">
        <v>151</v>
      </c>
      <c r="B50" s="18" t="s">
        <v>19</v>
      </c>
      <c r="C50" s="19" t="s">
        <v>209</v>
      </c>
      <c r="D50" s="20">
        <v>4</v>
      </c>
      <c r="E50" s="21">
        <v>5485.4</v>
      </c>
      <c r="F50" s="18" t="s">
        <v>153</v>
      </c>
      <c r="G50" s="18" t="s">
        <v>165</v>
      </c>
      <c r="H50" s="18" t="s">
        <v>151</v>
      </c>
      <c r="I50" s="22">
        <v>46067</v>
      </c>
      <c r="J50" s="22">
        <v>46062</v>
      </c>
      <c r="K50" s="22">
        <v>46068</v>
      </c>
    </row>
    <row r="51" spans="1:11" hidden="1">
      <c r="A51" s="18" t="s">
        <v>151</v>
      </c>
      <c r="B51" s="18" t="s">
        <v>14</v>
      </c>
      <c r="C51" s="19" t="s">
        <v>210</v>
      </c>
      <c r="D51" s="20">
        <v>0.5</v>
      </c>
      <c r="E51" s="21">
        <v>357.82</v>
      </c>
      <c r="F51" s="18" t="s">
        <v>153</v>
      </c>
      <c r="G51" s="18" t="s">
        <v>211</v>
      </c>
      <c r="H51" s="18" t="s">
        <v>151</v>
      </c>
      <c r="I51" s="22">
        <v>46066</v>
      </c>
      <c r="J51" s="22">
        <v>46055</v>
      </c>
      <c r="K51" s="22">
        <v>46061</v>
      </c>
    </row>
    <row r="52" spans="1:11">
      <c r="A52" s="18" t="s">
        <v>151</v>
      </c>
      <c r="B52" s="18" t="s">
        <v>20</v>
      </c>
      <c r="C52" s="23" t="s">
        <v>212</v>
      </c>
      <c r="D52" s="20">
        <v>1.9</v>
      </c>
      <c r="E52" s="21">
        <v>1359.7</v>
      </c>
      <c r="F52" s="18" t="s">
        <v>153</v>
      </c>
      <c r="G52" s="18" t="s">
        <v>211</v>
      </c>
      <c r="H52" s="18" t="s">
        <v>151</v>
      </c>
      <c r="I52" s="22">
        <v>46066</v>
      </c>
      <c r="J52" s="22">
        <v>46055</v>
      </c>
      <c r="K52" s="22">
        <v>46061</v>
      </c>
    </row>
    <row r="53" spans="1:11" hidden="1">
      <c r="A53" s="18" t="s">
        <v>151</v>
      </c>
      <c r="B53" s="18" t="s">
        <v>18</v>
      </c>
      <c r="C53" s="19" t="s">
        <v>213</v>
      </c>
      <c r="D53" s="20">
        <v>1</v>
      </c>
      <c r="E53" s="21">
        <v>1963.54</v>
      </c>
      <c r="F53" s="18" t="s">
        <v>153</v>
      </c>
      <c r="G53" s="18" t="s">
        <v>158</v>
      </c>
      <c r="H53" s="18" t="s">
        <v>151</v>
      </c>
      <c r="I53" s="22">
        <v>46081</v>
      </c>
      <c r="J53" s="22">
        <v>46055</v>
      </c>
      <c r="K53" s="22">
        <v>46061</v>
      </c>
    </row>
    <row r="54" spans="1:11" hidden="1">
      <c r="A54" s="18" t="s">
        <v>151</v>
      </c>
      <c r="B54" s="18" t="s">
        <v>16</v>
      </c>
      <c r="C54" s="19" t="s">
        <v>214</v>
      </c>
      <c r="D54" s="20">
        <v>1</v>
      </c>
      <c r="E54" s="21">
        <v>1963.54</v>
      </c>
      <c r="F54" s="18" t="s">
        <v>153</v>
      </c>
      <c r="G54" s="18" t="s">
        <v>158</v>
      </c>
      <c r="H54" s="18" t="s">
        <v>151</v>
      </c>
      <c r="I54" s="22">
        <v>46081</v>
      </c>
      <c r="J54" s="22">
        <v>46055</v>
      </c>
      <c r="K54" s="22">
        <v>46061</v>
      </c>
    </row>
    <row r="55" spans="1:11" hidden="1">
      <c r="A55" s="18" t="s">
        <v>151</v>
      </c>
      <c r="B55" s="18" t="s">
        <v>13</v>
      </c>
      <c r="C55" s="19" t="s">
        <v>174</v>
      </c>
      <c r="D55" s="20">
        <v>1.5</v>
      </c>
      <c r="E55" s="21">
        <v>2945.31</v>
      </c>
      <c r="F55" s="18" t="s">
        <v>153</v>
      </c>
      <c r="G55" s="18" t="s">
        <v>158</v>
      </c>
      <c r="H55" s="18" t="s">
        <v>151</v>
      </c>
      <c r="I55" s="22">
        <v>46081</v>
      </c>
      <c r="J55" s="22">
        <v>46055</v>
      </c>
      <c r="K55" s="22">
        <v>46061</v>
      </c>
    </row>
    <row r="56" spans="1:11">
      <c r="A56" s="18" t="s">
        <v>151</v>
      </c>
      <c r="B56" s="18" t="s">
        <v>17</v>
      </c>
      <c r="C56" s="19" t="s">
        <v>215</v>
      </c>
      <c r="D56" s="20">
        <v>0.5</v>
      </c>
      <c r="E56" s="21">
        <v>627.09</v>
      </c>
      <c r="F56" s="18" t="s">
        <v>153</v>
      </c>
      <c r="G56" s="18" t="s">
        <v>216</v>
      </c>
      <c r="H56" s="18" t="s">
        <v>151</v>
      </c>
      <c r="I56" s="22">
        <v>46079</v>
      </c>
      <c r="J56" s="22">
        <v>46055</v>
      </c>
      <c r="K56" s="22">
        <v>46061</v>
      </c>
    </row>
    <row r="57" spans="1:11">
      <c r="A57" s="18" t="s">
        <v>151</v>
      </c>
      <c r="B57" s="18" t="s">
        <v>21</v>
      </c>
      <c r="C57" s="19" t="s">
        <v>217</v>
      </c>
      <c r="D57" s="20">
        <v>0.5</v>
      </c>
      <c r="E57" s="21">
        <v>627.09</v>
      </c>
      <c r="F57" s="18" t="s">
        <v>153</v>
      </c>
      <c r="G57" s="18" t="s">
        <v>216</v>
      </c>
      <c r="H57" s="18" t="s">
        <v>151</v>
      </c>
      <c r="I57" s="22">
        <v>46079</v>
      </c>
      <c r="J57" s="22">
        <v>46055</v>
      </c>
      <c r="K57" s="22">
        <v>46061</v>
      </c>
    </row>
    <row r="58" spans="1:11" hidden="1">
      <c r="A58" s="18" t="s">
        <v>151</v>
      </c>
      <c r="B58" s="18" t="s">
        <v>18</v>
      </c>
      <c r="C58" s="19" t="s">
        <v>218</v>
      </c>
      <c r="D58" s="20">
        <v>0.5</v>
      </c>
      <c r="E58" s="21">
        <v>627.09</v>
      </c>
      <c r="F58" s="18" t="s">
        <v>153</v>
      </c>
      <c r="G58" s="18" t="s">
        <v>216</v>
      </c>
      <c r="H58" s="18" t="s">
        <v>151</v>
      </c>
      <c r="I58" s="22">
        <v>46079</v>
      </c>
      <c r="J58" s="22">
        <v>46055</v>
      </c>
      <c r="K58" s="22">
        <v>46061</v>
      </c>
    </row>
    <row r="59" spans="1:11" hidden="1">
      <c r="A59" s="18" t="s">
        <v>151</v>
      </c>
      <c r="B59" s="18" t="s">
        <v>18</v>
      </c>
      <c r="C59" s="19" t="s">
        <v>218</v>
      </c>
      <c r="D59" s="20">
        <v>0.3</v>
      </c>
      <c r="E59" s="21">
        <v>477.81</v>
      </c>
      <c r="F59" s="18" t="s">
        <v>153</v>
      </c>
      <c r="G59" s="18" t="s">
        <v>161</v>
      </c>
      <c r="H59" s="18" t="s">
        <v>151</v>
      </c>
      <c r="I59" s="22">
        <v>46078</v>
      </c>
      <c r="J59" s="22">
        <v>46055</v>
      </c>
      <c r="K59" s="22">
        <v>46061</v>
      </c>
    </row>
    <row r="60" spans="1:11" hidden="1">
      <c r="A60" s="18" t="s">
        <v>151</v>
      </c>
      <c r="B60" s="18" t="s">
        <v>13</v>
      </c>
      <c r="C60" s="19" t="s">
        <v>219</v>
      </c>
      <c r="D60" s="20">
        <v>1</v>
      </c>
      <c r="E60" s="21">
        <v>1592.71</v>
      </c>
      <c r="F60" s="18" t="s">
        <v>153</v>
      </c>
      <c r="G60" s="18" t="s">
        <v>161</v>
      </c>
      <c r="H60" s="18" t="s">
        <v>151</v>
      </c>
      <c r="I60" s="22">
        <v>46078</v>
      </c>
      <c r="J60" s="22">
        <v>46055</v>
      </c>
      <c r="K60" s="22">
        <v>46061</v>
      </c>
    </row>
    <row r="61" spans="1:11">
      <c r="A61" s="18" t="s">
        <v>151</v>
      </c>
      <c r="B61" s="18" t="s">
        <v>17</v>
      </c>
      <c r="C61" s="19" t="s">
        <v>220</v>
      </c>
      <c r="D61" s="20">
        <v>0.2</v>
      </c>
      <c r="E61" s="21">
        <v>318.54</v>
      </c>
      <c r="F61" s="18" t="s">
        <v>153</v>
      </c>
      <c r="G61" s="18" t="s">
        <v>161</v>
      </c>
      <c r="H61" s="18" t="s">
        <v>151</v>
      </c>
      <c r="I61" s="22">
        <v>46078</v>
      </c>
      <c r="J61" s="22">
        <v>46055</v>
      </c>
      <c r="K61" s="22">
        <v>46061</v>
      </c>
    </row>
    <row r="62" spans="1:11" hidden="1">
      <c r="A62" s="18" t="s">
        <v>151</v>
      </c>
      <c r="B62" s="18" t="s">
        <v>16</v>
      </c>
      <c r="C62" s="19" t="s">
        <v>221</v>
      </c>
      <c r="D62" s="20">
        <v>2</v>
      </c>
      <c r="E62" s="21">
        <v>2508.34</v>
      </c>
      <c r="F62" s="18" t="s">
        <v>153</v>
      </c>
      <c r="G62" s="18" t="s">
        <v>202</v>
      </c>
      <c r="H62" s="18" t="s">
        <v>151</v>
      </c>
      <c r="I62" s="22">
        <v>46083</v>
      </c>
      <c r="J62" s="22">
        <v>46055</v>
      </c>
      <c r="K62" s="22">
        <v>46061</v>
      </c>
    </row>
    <row r="63" spans="1:11" hidden="1">
      <c r="A63" s="18" t="s">
        <v>151</v>
      </c>
      <c r="B63" s="18" t="s">
        <v>18</v>
      </c>
      <c r="C63" s="19" t="s">
        <v>222</v>
      </c>
      <c r="D63" s="20">
        <v>0.5</v>
      </c>
      <c r="E63" s="21">
        <v>627.09</v>
      </c>
      <c r="F63" s="18" t="s">
        <v>153</v>
      </c>
      <c r="G63" s="18" t="s">
        <v>202</v>
      </c>
      <c r="H63" s="18" t="s">
        <v>151</v>
      </c>
      <c r="I63" s="22">
        <v>46083</v>
      </c>
      <c r="J63" s="22">
        <v>46055</v>
      </c>
      <c r="K63" s="22">
        <v>46061</v>
      </c>
    </row>
    <row r="64" spans="1:11" hidden="1">
      <c r="A64" s="18" t="s">
        <v>151</v>
      </c>
      <c r="B64" s="18" t="s">
        <v>22</v>
      </c>
      <c r="C64" s="19" t="s">
        <v>223</v>
      </c>
      <c r="D64" s="20">
        <v>0.5</v>
      </c>
      <c r="E64" s="21">
        <v>627.09</v>
      </c>
      <c r="F64" s="18" t="s">
        <v>153</v>
      </c>
      <c r="G64" s="18" t="s">
        <v>202</v>
      </c>
      <c r="H64" s="18" t="s">
        <v>151</v>
      </c>
      <c r="I64" s="22">
        <v>46083</v>
      </c>
      <c r="J64" s="22">
        <v>46055</v>
      </c>
      <c r="K64" s="22">
        <v>46061</v>
      </c>
    </row>
    <row r="65" spans="1:11">
      <c r="A65" s="18" t="s">
        <v>151</v>
      </c>
      <c r="B65" s="18" t="s">
        <v>17</v>
      </c>
      <c r="C65" s="19" t="s">
        <v>224</v>
      </c>
      <c r="D65" s="20">
        <v>0.5</v>
      </c>
      <c r="E65" s="21">
        <v>627.09</v>
      </c>
      <c r="F65" s="18" t="s">
        <v>153</v>
      </c>
      <c r="G65" s="18" t="s">
        <v>202</v>
      </c>
      <c r="H65" s="18" t="s">
        <v>151</v>
      </c>
      <c r="I65" s="22">
        <v>46083</v>
      </c>
      <c r="J65" s="22">
        <v>46055</v>
      </c>
      <c r="K65" s="22">
        <v>46061</v>
      </c>
    </row>
    <row r="66" spans="1:11" hidden="1">
      <c r="A66" s="18" t="s">
        <v>151</v>
      </c>
      <c r="B66" s="18" t="s">
        <v>15</v>
      </c>
      <c r="C66" s="23" t="s">
        <v>225</v>
      </c>
      <c r="D66" s="20">
        <v>1.5</v>
      </c>
      <c r="E66" s="21">
        <v>2057.03</v>
      </c>
      <c r="F66" s="18" t="s">
        <v>153</v>
      </c>
      <c r="G66" s="18" t="s">
        <v>165</v>
      </c>
      <c r="H66" s="18" t="s">
        <v>151</v>
      </c>
      <c r="I66" s="22">
        <v>46063</v>
      </c>
      <c r="J66" s="22">
        <v>46055</v>
      </c>
      <c r="K66" s="22">
        <v>46061</v>
      </c>
    </row>
    <row r="67" spans="1:11" hidden="1">
      <c r="A67" s="18" t="s">
        <v>151</v>
      </c>
      <c r="B67" s="18" t="s">
        <v>14</v>
      </c>
      <c r="C67" s="19" t="s">
        <v>226</v>
      </c>
      <c r="D67" s="20">
        <v>0.5</v>
      </c>
      <c r="E67" s="21">
        <v>685.68</v>
      </c>
      <c r="F67" s="18" t="s">
        <v>153</v>
      </c>
      <c r="G67" s="18" t="s">
        <v>165</v>
      </c>
      <c r="H67" s="18" t="s">
        <v>151</v>
      </c>
      <c r="I67" s="22">
        <v>46063</v>
      </c>
      <c r="J67" s="22">
        <v>46055</v>
      </c>
      <c r="K67" s="22">
        <v>46061</v>
      </c>
    </row>
    <row r="68" spans="1:11" hidden="1">
      <c r="A68" s="18" t="s">
        <v>151</v>
      </c>
      <c r="B68" s="18" t="s">
        <v>13</v>
      </c>
      <c r="C68" s="19" t="s">
        <v>227</v>
      </c>
      <c r="D68" s="20">
        <v>0.6</v>
      </c>
      <c r="E68" s="21">
        <v>327.14</v>
      </c>
      <c r="F68" s="18" t="s">
        <v>153</v>
      </c>
      <c r="G68" s="18" t="s">
        <v>211</v>
      </c>
      <c r="H68" s="18" t="s">
        <v>151</v>
      </c>
      <c r="I68" s="22">
        <v>46066</v>
      </c>
      <c r="J68" s="22">
        <v>46048</v>
      </c>
      <c r="K68" s="22">
        <v>46054</v>
      </c>
    </row>
    <row r="69" spans="1:11" hidden="1">
      <c r="A69" s="18" t="s">
        <v>151</v>
      </c>
      <c r="B69" s="18" t="s">
        <v>16</v>
      </c>
      <c r="C69" s="19" t="s">
        <v>228</v>
      </c>
      <c r="D69" s="20">
        <v>0.5</v>
      </c>
      <c r="E69" s="21">
        <v>748.02</v>
      </c>
      <c r="F69" s="18" t="s">
        <v>153</v>
      </c>
      <c r="G69" s="18" t="s">
        <v>158</v>
      </c>
      <c r="H69" s="18" t="s">
        <v>151</v>
      </c>
      <c r="I69" s="22">
        <v>46081</v>
      </c>
      <c r="J69" s="22">
        <v>46048</v>
      </c>
      <c r="K69" s="22">
        <v>46054</v>
      </c>
    </row>
    <row r="70" spans="1:11" hidden="1">
      <c r="A70" s="18" t="s">
        <v>151</v>
      </c>
      <c r="B70" s="18" t="s">
        <v>13</v>
      </c>
      <c r="C70" s="19" t="s">
        <v>229</v>
      </c>
      <c r="D70" s="20">
        <v>1</v>
      </c>
      <c r="E70" s="21">
        <v>1496.03</v>
      </c>
      <c r="F70" s="18" t="s">
        <v>153</v>
      </c>
      <c r="G70" s="18" t="s">
        <v>158</v>
      </c>
      <c r="H70" s="18" t="s">
        <v>151</v>
      </c>
      <c r="I70" s="22">
        <v>46081</v>
      </c>
      <c r="J70" s="22">
        <v>46048</v>
      </c>
      <c r="K70" s="22">
        <v>46054</v>
      </c>
    </row>
    <row r="71" spans="1:11" hidden="1">
      <c r="A71" s="18" t="s">
        <v>151</v>
      </c>
      <c r="B71" s="18" t="s">
        <v>13</v>
      </c>
      <c r="C71" s="19" t="s">
        <v>230</v>
      </c>
      <c r="D71" s="20">
        <v>0.5</v>
      </c>
      <c r="E71" s="21">
        <v>477.78</v>
      </c>
      <c r="F71" s="18" t="s">
        <v>153</v>
      </c>
      <c r="G71" s="18" t="s">
        <v>216</v>
      </c>
      <c r="H71" s="18" t="s">
        <v>151</v>
      </c>
      <c r="I71" s="22">
        <v>46079</v>
      </c>
      <c r="J71" s="22">
        <v>46048</v>
      </c>
      <c r="K71" s="22">
        <v>46054</v>
      </c>
    </row>
    <row r="72" spans="1:11" hidden="1">
      <c r="A72" s="18" t="s">
        <v>151</v>
      </c>
      <c r="B72" s="18" t="s">
        <v>14</v>
      </c>
      <c r="C72" s="19" t="s">
        <v>231</v>
      </c>
      <c r="D72" s="20">
        <v>1</v>
      </c>
      <c r="E72" s="21">
        <v>955.56</v>
      </c>
      <c r="F72" s="18" t="s">
        <v>153</v>
      </c>
      <c r="G72" s="18" t="s">
        <v>216</v>
      </c>
      <c r="H72" s="18" t="s">
        <v>151</v>
      </c>
      <c r="I72" s="22">
        <v>46079</v>
      </c>
      <c r="J72" s="22">
        <v>46048</v>
      </c>
      <c r="K72" s="22">
        <v>46054</v>
      </c>
    </row>
    <row r="73" spans="1:11">
      <c r="A73" s="18" t="s">
        <v>151</v>
      </c>
      <c r="B73" s="18" t="s">
        <v>23</v>
      </c>
      <c r="C73" s="19" t="s">
        <v>232</v>
      </c>
      <c r="D73" s="20">
        <v>1</v>
      </c>
      <c r="E73" s="21">
        <v>1213.49</v>
      </c>
      <c r="F73" s="18" t="s">
        <v>153</v>
      </c>
      <c r="G73" s="18" t="s">
        <v>161</v>
      </c>
      <c r="H73" s="18" t="s">
        <v>151</v>
      </c>
      <c r="I73" s="22">
        <v>46078</v>
      </c>
      <c r="J73" s="22">
        <v>46048</v>
      </c>
      <c r="K73" s="22">
        <v>46054</v>
      </c>
    </row>
    <row r="74" spans="1:11" hidden="1">
      <c r="A74" s="18" t="s">
        <v>151</v>
      </c>
      <c r="B74" s="18" t="s">
        <v>14</v>
      </c>
      <c r="C74" s="19" t="s">
        <v>233</v>
      </c>
      <c r="D74" s="20">
        <v>2</v>
      </c>
      <c r="E74" s="21">
        <v>2426.98</v>
      </c>
      <c r="F74" s="18" t="s">
        <v>153</v>
      </c>
      <c r="G74" s="18" t="s">
        <v>161</v>
      </c>
      <c r="H74" s="18" t="s">
        <v>151</v>
      </c>
      <c r="I74" s="22">
        <v>46078</v>
      </c>
      <c r="J74" s="22">
        <v>46048</v>
      </c>
      <c r="K74" s="22">
        <v>46054</v>
      </c>
    </row>
    <row r="75" spans="1:11" hidden="1">
      <c r="A75" s="18" t="s">
        <v>151</v>
      </c>
      <c r="B75" s="18" t="s">
        <v>13</v>
      </c>
      <c r="C75" s="19" t="s">
        <v>234</v>
      </c>
      <c r="D75" s="20">
        <v>1</v>
      </c>
      <c r="E75" s="21">
        <v>1213.49</v>
      </c>
      <c r="F75" s="18" t="s">
        <v>153</v>
      </c>
      <c r="G75" s="18" t="s">
        <v>161</v>
      </c>
      <c r="H75" s="18" t="s">
        <v>151</v>
      </c>
      <c r="I75" s="22">
        <v>46078</v>
      </c>
      <c r="J75" s="22">
        <v>46048</v>
      </c>
      <c r="K75" s="22">
        <v>46054</v>
      </c>
    </row>
    <row r="76" spans="1:11">
      <c r="A76" s="18" t="s">
        <v>151</v>
      </c>
      <c r="B76" s="18" t="s">
        <v>23</v>
      </c>
      <c r="C76" s="19" t="s">
        <v>235</v>
      </c>
      <c r="D76" s="20">
        <v>0.5</v>
      </c>
      <c r="E76" s="21">
        <v>477.78</v>
      </c>
      <c r="F76" s="18" t="s">
        <v>153</v>
      </c>
      <c r="G76" s="18" t="s">
        <v>202</v>
      </c>
      <c r="H76" s="18" t="s">
        <v>151</v>
      </c>
      <c r="I76" s="22">
        <v>46083</v>
      </c>
      <c r="J76" s="22">
        <v>46048</v>
      </c>
      <c r="K76" s="22">
        <v>46054</v>
      </c>
    </row>
    <row r="77" spans="1:11" hidden="1">
      <c r="A77" s="18" t="s">
        <v>151</v>
      </c>
      <c r="B77" s="18" t="s">
        <v>14</v>
      </c>
      <c r="C77" s="19" t="s">
        <v>236</v>
      </c>
      <c r="D77" s="20">
        <v>1.5</v>
      </c>
      <c r="E77" s="21">
        <v>1433.34</v>
      </c>
      <c r="F77" s="18" t="s">
        <v>153</v>
      </c>
      <c r="G77" s="18" t="s">
        <v>202</v>
      </c>
      <c r="H77" s="18" t="s">
        <v>151</v>
      </c>
      <c r="I77" s="22">
        <v>46083</v>
      </c>
      <c r="J77" s="22">
        <v>46048</v>
      </c>
      <c r="K77" s="22">
        <v>46054</v>
      </c>
    </row>
    <row r="78" spans="1:11" hidden="1">
      <c r="A78" s="18" t="s">
        <v>151</v>
      </c>
      <c r="B78" s="18" t="s">
        <v>14</v>
      </c>
      <c r="C78" s="19" t="s">
        <v>237</v>
      </c>
      <c r="D78" s="20">
        <v>0.5</v>
      </c>
      <c r="E78" s="21">
        <v>477.78</v>
      </c>
      <c r="F78" s="18" t="s">
        <v>153</v>
      </c>
      <c r="G78" s="18" t="s">
        <v>202</v>
      </c>
      <c r="H78" s="18" t="s">
        <v>151</v>
      </c>
      <c r="I78" s="22">
        <v>46083</v>
      </c>
      <c r="J78" s="22">
        <v>46048</v>
      </c>
      <c r="K78" s="22">
        <v>46054</v>
      </c>
    </row>
    <row r="79" spans="1:11" hidden="1">
      <c r="A79" s="18" t="s">
        <v>151</v>
      </c>
      <c r="B79" s="18" t="s">
        <v>14</v>
      </c>
      <c r="C79" s="19" t="s">
        <v>238</v>
      </c>
      <c r="D79" s="20">
        <v>2</v>
      </c>
      <c r="E79" s="21">
        <v>1911.12</v>
      </c>
      <c r="F79" s="18" t="s">
        <v>153</v>
      </c>
      <c r="G79" s="18" t="s">
        <v>202</v>
      </c>
      <c r="H79" s="18" t="s">
        <v>151</v>
      </c>
      <c r="I79" s="22">
        <v>46083</v>
      </c>
      <c r="J79" s="22">
        <v>46048</v>
      </c>
      <c r="K79" s="22">
        <v>46054</v>
      </c>
    </row>
    <row r="80" spans="1:11">
      <c r="A80" s="18" t="s">
        <v>151</v>
      </c>
      <c r="B80" s="18" t="s">
        <v>23</v>
      </c>
      <c r="C80" s="19" t="s">
        <v>239</v>
      </c>
      <c r="D80" s="20">
        <v>1</v>
      </c>
      <c r="E80" s="21">
        <v>955.56</v>
      </c>
      <c r="F80" s="18" t="s">
        <v>153</v>
      </c>
      <c r="G80" s="18" t="s">
        <v>205</v>
      </c>
      <c r="H80" s="18" t="s">
        <v>151</v>
      </c>
      <c r="I80" s="22">
        <v>46079</v>
      </c>
      <c r="J80" s="22">
        <v>46048</v>
      </c>
      <c r="K80" s="22">
        <v>46054</v>
      </c>
    </row>
    <row r="81" spans="1:11" hidden="1">
      <c r="A81" s="18" t="s">
        <v>151</v>
      </c>
      <c r="B81" s="18" t="s">
        <v>15</v>
      </c>
      <c r="C81" s="23" t="s">
        <v>240</v>
      </c>
      <c r="D81" s="20">
        <v>2</v>
      </c>
      <c r="E81" s="21">
        <v>2089.68</v>
      </c>
      <c r="F81" s="18" t="s">
        <v>153</v>
      </c>
      <c r="G81" s="18" t="s">
        <v>165</v>
      </c>
      <c r="H81" s="18" t="s">
        <v>151</v>
      </c>
      <c r="I81" s="22">
        <v>46063</v>
      </c>
      <c r="J81" s="22">
        <v>46048</v>
      </c>
      <c r="K81" s="22">
        <v>46054</v>
      </c>
    </row>
    <row r="82" spans="1:11" hidden="1">
      <c r="A82" s="18" t="s">
        <v>151</v>
      </c>
      <c r="B82" s="18" t="s">
        <v>13</v>
      </c>
      <c r="C82" s="19" t="s">
        <v>241</v>
      </c>
      <c r="D82" s="20">
        <v>0.5</v>
      </c>
      <c r="E82" s="21">
        <v>375</v>
      </c>
      <c r="F82" s="18" t="s">
        <v>153</v>
      </c>
      <c r="G82" s="18" t="s">
        <v>167</v>
      </c>
      <c r="H82" s="18" t="s">
        <v>151</v>
      </c>
      <c r="I82" s="22">
        <v>46081</v>
      </c>
      <c r="J82" s="22">
        <v>46048</v>
      </c>
      <c r="K82" s="22">
        <v>46054</v>
      </c>
    </row>
    <row r="83" spans="1:11">
      <c r="A83" s="18" t="s">
        <v>151</v>
      </c>
      <c r="B83" s="18" t="s">
        <v>17</v>
      </c>
      <c r="C83" s="23" t="s">
        <v>242</v>
      </c>
      <c r="D83" s="20">
        <v>2</v>
      </c>
      <c r="E83" s="21">
        <v>1500</v>
      </c>
      <c r="F83" s="18" t="s">
        <v>153</v>
      </c>
      <c r="G83" s="18" t="s">
        <v>188</v>
      </c>
      <c r="H83" s="18" t="s">
        <v>151</v>
      </c>
      <c r="I83" s="22">
        <v>46086</v>
      </c>
      <c r="J83" s="22">
        <v>46048</v>
      </c>
      <c r="K83" s="22">
        <v>46054</v>
      </c>
    </row>
    <row r="84" spans="1:11" hidden="1">
      <c r="A84" s="18" t="s">
        <v>151</v>
      </c>
      <c r="B84" s="18" t="s">
        <v>13</v>
      </c>
      <c r="C84" s="19" t="s">
        <v>229</v>
      </c>
      <c r="D84" s="20">
        <v>1</v>
      </c>
      <c r="E84" s="21">
        <v>1496.03</v>
      </c>
      <c r="F84" s="18" t="s">
        <v>153</v>
      </c>
      <c r="G84" s="18" t="s">
        <v>158</v>
      </c>
      <c r="H84" s="18" t="s">
        <v>151</v>
      </c>
      <c r="I84" s="22">
        <v>46081</v>
      </c>
      <c r="J84" s="22">
        <v>46041</v>
      </c>
      <c r="K84" s="22">
        <v>46047</v>
      </c>
    </row>
    <row r="85" spans="1:11">
      <c r="A85" s="18" t="s">
        <v>151</v>
      </c>
      <c r="B85" s="18" t="s">
        <v>21</v>
      </c>
      <c r="C85" s="19" t="s">
        <v>243</v>
      </c>
      <c r="D85" s="20">
        <v>1.3</v>
      </c>
      <c r="E85" s="21">
        <v>1242.23</v>
      </c>
      <c r="F85" s="18" t="s">
        <v>153</v>
      </c>
      <c r="G85" s="18" t="s">
        <v>216</v>
      </c>
      <c r="H85" s="18" t="s">
        <v>151</v>
      </c>
      <c r="I85" s="22">
        <v>46079</v>
      </c>
      <c r="J85" s="22">
        <v>46041</v>
      </c>
      <c r="K85" s="22">
        <v>46047</v>
      </c>
    </row>
    <row r="86" spans="1:11">
      <c r="A86" s="18" t="s">
        <v>151</v>
      </c>
      <c r="B86" s="18" t="s">
        <v>17</v>
      </c>
      <c r="C86" s="19" t="s">
        <v>244</v>
      </c>
      <c r="D86" s="20">
        <v>1.2</v>
      </c>
      <c r="E86" s="21">
        <v>1146.67</v>
      </c>
      <c r="F86" s="18" t="s">
        <v>153</v>
      </c>
      <c r="G86" s="18" t="s">
        <v>216</v>
      </c>
      <c r="H86" s="18" t="s">
        <v>151</v>
      </c>
      <c r="I86" s="22">
        <v>46079</v>
      </c>
      <c r="J86" s="22">
        <v>46041</v>
      </c>
      <c r="K86" s="22">
        <v>46047</v>
      </c>
    </row>
    <row r="87" spans="1:11" hidden="1">
      <c r="A87" s="18" t="s">
        <v>151</v>
      </c>
      <c r="B87" s="18" t="s">
        <v>14</v>
      </c>
      <c r="C87" s="19" t="s">
        <v>245</v>
      </c>
      <c r="D87" s="20">
        <v>0.2</v>
      </c>
      <c r="E87" s="21">
        <v>242.7</v>
      </c>
      <c r="F87" s="18" t="s">
        <v>153</v>
      </c>
      <c r="G87" s="18" t="s">
        <v>161</v>
      </c>
      <c r="H87" s="18" t="s">
        <v>151</v>
      </c>
      <c r="I87" s="22">
        <v>46078</v>
      </c>
      <c r="J87" s="22">
        <v>46041</v>
      </c>
      <c r="K87" s="22">
        <v>46047</v>
      </c>
    </row>
    <row r="88" spans="1:11" hidden="1">
      <c r="A88" s="18" t="s">
        <v>151</v>
      </c>
      <c r="B88" s="18" t="s">
        <v>13</v>
      </c>
      <c r="C88" s="19" t="s">
        <v>246</v>
      </c>
      <c r="D88" s="20">
        <v>1.7</v>
      </c>
      <c r="E88" s="21">
        <v>2062.93</v>
      </c>
      <c r="F88" s="18" t="s">
        <v>153</v>
      </c>
      <c r="G88" s="18" t="s">
        <v>161</v>
      </c>
      <c r="H88" s="18" t="s">
        <v>151</v>
      </c>
      <c r="I88" s="22">
        <v>46078</v>
      </c>
      <c r="J88" s="22">
        <v>46041</v>
      </c>
      <c r="K88" s="22">
        <v>46047</v>
      </c>
    </row>
    <row r="89" spans="1:11">
      <c r="A89" s="18" t="s">
        <v>151</v>
      </c>
      <c r="B89" s="18" t="s">
        <v>19</v>
      </c>
      <c r="C89" s="19" t="s">
        <v>247</v>
      </c>
      <c r="D89" s="20">
        <v>1</v>
      </c>
      <c r="E89" s="21">
        <v>1213.49</v>
      </c>
      <c r="F89" s="18" t="s">
        <v>153</v>
      </c>
      <c r="G89" s="18" t="s">
        <v>161</v>
      </c>
      <c r="H89" s="18" t="s">
        <v>151</v>
      </c>
      <c r="I89" s="22">
        <v>46078</v>
      </c>
      <c r="J89" s="22">
        <v>46041</v>
      </c>
      <c r="K89" s="22">
        <v>46047</v>
      </c>
    </row>
    <row r="90" spans="1:11">
      <c r="A90" s="18" t="s">
        <v>151</v>
      </c>
      <c r="B90" s="18" t="s">
        <v>21</v>
      </c>
      <c r="C90" s="19" t="s">
        <v>248</v>
      </c>
      <c r="D90" s="20">
        <v>0.3</v>
      </c>
      <c r="E90" s="21">
        <v>364.05</v>
      </c>
      <c r="F90" s="18" t="s">
        <v>153</v>
      </c>
      <c r="G90" s="18" t="s">
        <v>161</v>
      </c>
      <c r="H90" s="18" t="s">
        <v>151</v>
      </c>
      <c r="I90" s="22">
        <v>46078</v>
      </c>
      <c r="J90" s="22">
        <v>46041</v>
      </c>
      <c r="K90" s="22">
        <v>46047</v>
      </c>
    </row>
    <row r="91" spans="1:11">
      <c r="A91" s="18" t="s">
        <v>151</v>
      </c>
      <c r="B91" s="18" t="s">
        <v>17</v>
      </c>
      <c r="C91" s="19" t="s">
        <v>249</v>
      </c>
      <c r="D91" s="20">
        <v>0.2</v>
      </c>
      <c r="E91" s="21">
        <v>242.7</v>
      </c>
      <c r="F91" s="18" t="s">
        <v>153</v>
      </c>
      <c r="G91" s="18" t="s">
        <v>161</v>
      </c>
      <c r="H91" s="18" t="s">
        <v>151</v>
      </c>
      <c r="I91" s="22">
        <v>46078</v>
      </c>
      <c r="J91" s="22">
        <v>46041</v>
      </c>
      <c r="K91" s="22">
        <v>46047</v>
      </c>
    </row>
    <row r="92" spans="1:11" hidden="1">
      <c r="A92" s="18" t="s">
        <v>151</v>
      </c>
      <c r="B92" s="18" t="s">
        <v>22</v>
      </c>
      <c r="C92" s="19" t="s">
        <v>250</v>
      </c>
      <c r="D92" s="20">
        <v>1</v>
      </c>
      <c r="E92" s="21">
        <v>955.56</v>
      </c>
      <c r="F92" s="18" t="s">
        <v>153</v>
      </c>
      <c r="G92" s="18" t="s">
        <v>202</v>
      </c>
      <c r="H92" s="18" t="s">
        <v>151</v>
      </c>
      <c r="I92" s="22">
        <v>46083</v>
      </c>
      <c r="J92" s="22">
        <v>46041</v>
      </c>
      <c r="K92" s="22">
        <v>46047</v>
      </c>
    </row>
    <row r="93" spans="1:11" hidden="1">
      <c r="A93" s="18" t="s">
        <v>151</v>
      </c>
      <c r="B93" s="18" t="s">
        <v>14</v>
      </c>
      <c r="C93" s="19" t="s">
        <v>251</v>
      </c>
      <c r="D93" s="20">
        <v>1.5</v>
      </c>
      <c r="E93" s="21">
        <v>1433.34</v>
      </c>
      <c r="F93" s="18" t="s">
        <v>153</v>
      </c>
      <c r="G93" s="18" t="s">
        <v>202</v>
      </c>
      <c r="H93" s="18" t="s">
        <v>151</v>
      </c>
      <c r="I93" s="22">
        <v>46083</v>
      </c>
      <c r="J93" s="22">
        <v>46041</v>
      </c>
      <c r="K93" s="22">
        <v>46047</v>
      </c>
    </row>
    <row r="94" spans="1:11" hidden="1">
      <c r="A94" s="18" t="s">
        <v>151</v>
      </c>
      <c r="B94" s="18" t="s">
        <v>14</v>
      </c>
      <c r="C94" s="19" t="s">
        <v>252</v>
      </c>
      <c r="D94" s="20">
        <v>1.5</v>
      </c>
      <c r="E94" s="21">
        <v>1433.34</v>
      </c>
      <c r="F94" s="18" t="s">
        <v>153</v>
      </c>
      <c r="G94" s="18" t="s">
        <v>202</v>
      </c>
      <c r="H94" s="18" t="s">
        <v>151</v>
      </c>
      <c r="I94" s="22">
        <v>46083</v>
      </c>
      <c r="J94" s="22">
        <v>46041</v>
      </c>
      <c r="K94" s="22">
        <v>46047</v>
      </c>
    </row>
    <row r="95" spans="1:11" hidden="1">
      <c r="A95" s="18" t="s">
        <v>151</v>
      </c>
      <c r="B95" s="18" t="s">
        <v>14</v>
      </c>
      <c r="C95" s="19" t="s">
        <v>253</v>
      </c>
      <c r="D95" s="20">
        <v>1</v>
      </c>
      <c r="E95" s="21">
        <v>955.56</v>
      </c>
      <c r="F95" s="18" t="s">
        <v>153</v>
      </c>
      <c r="G95" s="18" t="s">
        <v>202</v>
      </c>
      <c r="H95" s="18" t="s">
        <v>151</v>
      </c>
      <c r="I95" s="22">
        <v>46083</v>
      </c>
      <c r="J95" s="22">
        <v>46041</v>
      </c>
      <c r="K95" s="22">
        <v>46047</v>
      </c>
    </row>
    <row r="96" spans="1:11" hidden="1">
      <c r="A96" s="18" t="s">
        <v>151</v>
      </c>
      <c r="B96" s="18" t="s">
        <v>13</v>
      </c>
      <c r="C96" s="19" t="s">
        <v>254</v>
      </c>
      <c r="D96" s="20">
        <v>0.5</v>
      </c>
      <c r="E96" s="21">
        <v>451.79</v>
      </c>
      <c r="F96" s="18" t="s">
        <v>153</v>
      </c>
      <c r="G96" s="18" t="s">
        <v>184</v>
      </c>
      <c r="H96" s="18" t="s">
        <v>151</v>
      </c>
      <c r="I96" s="22">
        <v>46085</v>
      </c>
      <c r="J96" s="22">
        <v>46041</v>
      </c>
      <c r="K96" s="22">
        <v>46047</v>
      </c>
    </row>
    <row r="97" spans="1:11" hidden="1">
      <c r="A97" s="18" t="s">
        <v>151</v>
      </c>
      <c r="B97" s="18" t="s">
        <v>15</v>
      </c>
      <c r="C97" s="23" t="s">
        <v>255</v>
      </c>
      <c r="D97" s="20">
        <v>0.5</v>
      </c>
      <c r="E97" s="21">
        <v>522.42</v>
      </c>
      <c r="F97" s="18" t="s">
        <v>153</v>
      </c>
      <c r="G97" s="18" t="s">
        <v>165</v>
      </c>
      <c r="H97" s="18" t="s">
        <v>151</v>
      </c>
      <c r="I97" s="22">
        <v>46063</v>
      </c>
      <c r="J97" s="22">
        <v>46041</v>
      </c>
      <c r="K97" s="22">
        <v>46047</v>
      </c>
    </row>
    <row r="98" spans="1:11" hidden="1">
      <c r="A98" s="18" t="s">
        <v>151</v>
      </c>
      <c r="B98" s="18" t="s">
        <v>22</v>
      </c>
      <c r="C98" s="19" t="s">
        <v>256</v>
      </c>
      <c r="D98" s="20">
        <v>1.5</v>
      </c>
      <c r="E98" s="21">
        <v>1125</v>
      </c>
      <c r="F98" s="18" t="s">
        <v>153</v>
      </c>
      <c r="G98" s="18" t="s">
        <v>167</v>
      </c>
      <c r="H98" s="18" t="s">
        <v>151</v>
      </c>
      <c r="I98" s="22">
        <v>46081</v>
      </c>
      <c r="J98" s="22">
        <v>46041</v>
      </c>
      <c r="K98" s="22">
        <v>46047</v>
      </c>
    </row>
    <row r="99" spans="1:11">
      <c r="A99" s="18" t="s">
        <v>151</v>
      </c>
      <c r="B99" s="18" t="s">
        <v>17</v>
      </c>
      <c r="C99" s="23" t="s">
        <v>257</v>
      </c>
      <c r="D99" s="20">
        <v>3</v>
      </c>
      <c r="E99" s="21">
        <v>2250</v>
      </c>
      <c r="F99" s="18" t="s">
        <v>153</v>
      </c>
      <c r="G99" s="18" t="s">
        <v>188</v>
      </c>
      <c r="H99" s="18" t="s">
        <v>151</v>
      </c>
      <c r="I99" s="22">
        <v>46086</v>
      </c>
      <c r="J99" s="22">
        <v>46041</v>
      </c>
      <c r="K99" s="22">
        <v>46047</v>
      </c>
    </row>
    <row r="100" spans="1:11" hidden="1">
      <c r="A100" s="18" t="s">
        <v>151</v>
      </c>
      <c r="B100" s="18" t="s">
        <v>16</v>
      </c>
      <c r="C100" s="19" t="s">
        <v>258</v>
      </c>
      <c r="D100" s="20">
        <v>1</v>
      </c>
      <c r="E100" s="21">
        <v>1496.03</v>
      </c>
      <c r="F100" s="18" t="s">
        <v>153</v>
      </c>
      <c r="G100" s="18" t="s">
        <v>158</v>
      </c>
      <c r="H100" s="18" t="s">
        <v>151</v>
      </c>
      <c r="I100" s="22">
        <v>46079</v>
      </c>
      <c r="J100" s="22">
        <v>46034</v>
      </c>
      <c r="K100" s="22">
        <v>46040</v>
      </c>
    </row>
    <row r="101" spans="1:11" hidden="1">
      <c r="A101" s="18" t="s">
        <v>151</v>
      </c>
      <c r="B101" s="18" t="s">
        <v>13</v>
      </c>
      <c r="C101" s="19" t="s">
        <v>259</v>
      </c>
      <c r="D101" s="20">
        <v>4</v>
      </c>
      <c r="E101" s="21">
        <v>5984.12</v>
      </c>
      <c r="F101" s="18" t="s">
        <v>153</v>
      </c>
      <c r="G101" s="18" t="s">
        <v>158</v>
      </c>
      <c r="H101" s="18" t="s">
        <v>151</v>
      </c>
      <c r="I101" s="22">
        <v>46079</v>
      </c>
      <c r="J101" s="22">
        <v>46034</v>
      </c>
      <c r="K101" s="22">
        <v>46040</v>
      </c>
    </row>
    <row r="102" spans="1:11">
      <c r="A102" s="18" t="s">
        <v>151</v>
      </c>
      <c r="B102" s="18" t="s">
        <v>21</v>
      </c>
      <c r="C102" s="19" t="s">
        <v>260</v>
      </c>
      <c r="D102" s="20">
        <v>2.5</v>
      </c>
      <c r="E102" s="21">
        <v>2388.9</v>
      </c>
      <c r="F102" s="18" t="s">
        <v>153</v>
      </c>
      <c r="G102" s="18" t="s">
        <v>216</v>
      </c>
      <c r="H102" s="18" t="s">
        <v>151</v>
      </c>
      <c r="I102" s="22">
        <v>46079</v>
      </c>
      <c r="J102" s="22">
        <v>46034</v>
      </c>
      <c r="K102" s="22">
        <v>46040</v>
      </c>
    </row>
    <row r="103" spans="1:11">
      <c r="A103" s="18" t="s">
        <v>151</v>
      </c>
      <c r="B103" s="18" t="s">
        <v>19</v>
      </c>
      <c r="C103" s="19" t="s">
        <v>261</v>
      </c>
      <c r="D103" s="20">
        <v>0.5</v>
      </c>
      <c r="E103" s="21">
        <v>477.78</v>
      </c>
      <c r="F103" s="18" t="s">
        <v>153</v>
      </c>
      <c r="G103" s="18" t="s">
        <v>216</v>
      </c>
      <c r="H103" s="18" t="s">
        <v>151</v>
      </c>
      <c r="I103" s="22">
        <v>46079</v>
      </c>
      <c r="J103" s="22">
        <v>46034</v>
      </c>
      <c r="K103" s="22">
        <v>46040</v>
      </c>
    </row>
    <row r="104" spans="1:11">
      <c r="A104" s="18" t="s">
        <v>151</v>
      </c>
      <c r="B104" s="18" t="s">
        <v>17</v>
      </c>
      <c r="C104" s="19" t="s">
        <v>262</v>
      </c>
      <c r="D104" s="20">
        <v>0.25</v>
      </c>
      <c r="E104" s="21">
        <v>303.37</v>
      </c>
      <c r="F104" s="18" t="s">
        <v>153</v>
      </c>
      <c r="G104" s="18" t="s">
        <v>161</v>
      </c>
      <c r="H104" s="18" t="s">
        <v>151</v>
      </c>
      <c r="I104" s="22">
        <v>46078</v>
      </c>
      <c r="J104" s="22">
        <v>46034</v>
      </c>
      <c r="K104" s="22">
        <v>46040</v>
      </c>
    </row>
    <row r="105" spans="1:11" hidden="1">
      <c r="A105" s="18" t="s">
        <v>151</v>
      </c>
      <c r="B105" s="18" t="s">
        <v>13</v>
      </c>
      <c r="C105" s="19" t="s">
        <v>263</v>
      </c>
      <c r="D105" s="20">
        <v>2</v>
      </c>
      <c r="E105" s="21">
        <v>2426.98</v>
      </c>
      <c r="F105" s="18" t="s">
        <v>153</v>
      </c>
      <c r="G105" s="18" t="s">
        <v>161</v>
      </c>
      <c r="H105" s="18" t="s">
        <v>151</v>
      </c>
      <c r="I105" s="22">
        <v>46078</v>
      </c>
      <c r="J105" s="22">
        <v>46034</v>
      </c>
      <c r="K105" s="22">
        <v>46040</v>
      </c>
    </row>
    <row r="106" spans="1:11">
      <c r="A106" s="18" t="s">
        <v>151</v>
      </c>
      <c r="B106" s="18" t="s">
        <v>20</v>
      </c>
      <c r="C106" s="19" t="s">
        <v>264</v>
      </c>
      <c r="D106" s="20">
        <v>0.05</v>
      </c>
      <c r="E106" s="21">
        <v>60.67</v>
      </c>
      <c r="F106" s="18" t="s">
        <v>153</v>
      </c>
      <c r="G106" s="18" t="s">
        <v>161</v>
      </c>
      <c r="H106" s="18" t="s">
        <v>151</v>
      </c>
      <c r="I106" s="22">
        <v>46078</v>
      </c>
      <c r="J106" s="22">
        <v>46034</v>
      </c>
      <c r="K106" s="22">
        <v>46040</v>
      </c>
    </row>
    <row r="107" spans="1:11">
      <c r="A107" s="18" t="s">
        <v>151</v>
      </c>
      <c r="B107" s="18" t="s">
        <v>23</v>
      </c>
      <c r="C107" s="19" t="s">
        <v>265</v>
      </c>
      <c r="D107" s="20">
        <v>0.1</v>
      </c>
      <c r="E107" s="21">
        <v>121.35</v>
      </c>
      <c r="F107" s="18" t="s">
        <v>153</v>
      </c>
      <c r="G107" s="18" t="s">
        <v>161</v>
      </c>
      <c r="H107" s="18" t="s">
        <v>151</v>
      </c>
      <c r="I107" s="22">
        <v>46078</v>
      </c>
      <c r="J107" s="22">
        <v>46034</v>
      </c>
      <c r="K107" s="22">
        <v>46040</v>
      </c>
    </row>
    <row r="108" spans="1:11">
      <c r="A108" s="18" t="s">
        <v>151</v>
      </c>
      <c r="B108" s="18" t="s">
        <v>19</v>
      </c>
      <c r="C108" s="19" t="s">
        <v>266</v>
      </c>
      <c r="D108" s="20">
        <v>0.5</v>
      </c>
      <c r="E108" s="21">
        <v>606.75</v>
      </c>
      <c r="F108" s="18" t="s">
        <v>153</v>
      </c>
      <c r="G108" s="18" t="s">
        <v>161</v>
      </c>
      <c r="H108" s="18" t="s">
        <v>151</v>
      </c>
      <c r="I108" s="22">
        <v>46078</v>
      </c>
      <c r="J108" s="22">
        <v>46034</v>
      </c>
      <c r="K108" s="22">
        <v>46040</v>
      </c>
    </row>
    <row r="109" spans="1:11" hidden="1">
      <c r="A109" s="18" t="s">
        <v>151</v>
      </c>
      <c r="B109" s="18" t="s">
        <v>14</v>
      </c>
      <c r="C109" s="19" t="s">
        <v>267</v>
      </c>
      <c r="D109" s="20">
        <v>1</v>
      </c>
      <c r="E109" s="21">
        <v>955.56</v>
      </c>
      <c r="F109" s="18" t="s">
        <v>153</v>
      </c>
      <c r="G109" s="18" t="s">
        <v>205</v>
      </c>
      <c r="H109" s="18" t="s">
        <v>151</v>
      </c>
      <c r="I109" s="22">
        <v>46079</v>
      </c>
      <c r="J109" s="22">
        <v>46034</v>
      </c>
      <c r="K109" s="22">
        <v>46040</v>
      </c>
    </row>
    <row r="110" spans="1:11" hidden="1">
      <c r="A110" s="18" t="s">
        <v>151</v>
      </c>
      <c r="B110" s="18" t="s">
        <v>15</v>
      </c>
      <c r="C110" s="23" t="s">
        <v>268</v>
      </c>
      <c r="D110" s="20">
        <v>2</v>
      </c>
      <c r="E110" s="21">
        <v>2089.68</v>
      </c>
      <c r="F110" s="18" t="s">
        <v>153</v>
      </c>
      <c r="G110" s="18" t="s">
        <v>165</v>
      </c>
      <c r="H110" s="18" t="s">
        <v>151</v>
      </c>
      <c r="I110" s="22">
        <v>46063</v>
      </c>
      <c r="J110" s="22">
        <v>46034</v>
      </c>
      <c r="K110" s="22">
        <v>46040</v>
      </c>
    </row>
    <row r="111" spans="1:11">
      <c r="A111" s="18" t="s">
        <v>151</v>
      </c>
      <c r="B111" s="18" t="s">
        <v>17</v>
      </c>
      <c r="C111" s="19" t="s">
        <v>269</v>
      </c>
      <c r="D111" s="20">
        <v>1</v>
      </c>
      <c r="E111" s="21">
        <v>1044.84</v>
      </c>
      <c r="F111" s="18" t="s">
        <v>153</v>
      </c>
      <c r="G111" s="18" t="s">
        <v>165</v>
      </c>
      <c r="H111" s="18" t="s">
        <v>151</v>
      </c>
      <c r="I111" s="22">
        <v>46063</v>
      </c>
      <c r="J111" s="22">
        <v>46034</v>
      </c>
      <c r="K111" s="22">
        <v>46040</v>
      </c>
    </row>
    <row r="112" spans="1:11">
      <c r="A112" s="18" t="s">
        <v>151</v>
      </c>
      <c r="B112" s="18" t="s">
        <v>24</v>
      </c>
      <c r="C112" s="19" t="s">
        <v>270</v>
      </c>
      <c r="D112" s="20">
        <v>1</v>
      </c>
      <c r="E112" s="21">
        <v>1044.84</v>
      </c>
      <c r="F112" s="18" t="s">
        <v>153</v>
      </c>
      <c r="G112" s="18" t="s">
        <v>165</v>
      </c>
      <c r="H112" s="18" t="s">
        <v>151</v>
      </c>
      <c r="I112" s="22">
        <v>46063</v>
      </c>
      <c r="J112" s="22">
        <v>46034</v>
      </c>
      <c r="K112" s="22">
        <v>46040</v>
      </c>
    </row>
    <row r="113" spans="1:11" hidden="1">
      <c r="A113" s="18" t="s">
        <v>151</v>
      </c>
      <c r="B113" s="18" t="s">
        <v>13</v>
      </c>
      <c r="C113" s="19" t="s">
        <v>271</v>
      </c>
      <c r="D113" s="20">
        <v>1</v>
      </c>
      <c r="E113" s="21">
        <v>750</v>
      </c>
      <c r="F113" s="18" t="s">
        <v>153</v>
      </c>
      <c r="G113" s="18" t="s">
        <v>167</v>
      </c>
      <c r="H113" s="18" t="s">
        <v>151</v>
      </c>
      <c r="I113" s="22">
        <v>46081</v>
      </c>
      <c r="J113" s="22">
        <v>46034</v>
      </c>
      <c r="K113" s="22">
        <v>46040</v>
      </c>
    </row>
    <row r="114" spans="1:11">
      <c r="A114" s="18" t="s">
        <v>151</v>
      </c>
      <c r="B114" s="18" t="s">
        <v>17</v>
      </c>
      <c r="C114" s="23" t="s">
        <v>272</v>
      </c>
      <c r="D114" s="20">
        <v>2</v>
      </c>
      <c r="E114" s="21">
        <v>1500</v>
      </c>
      <c r="F114" s="18" t="s">
        <v>153</v>
      </c>
      <c r="G114" s="18" t="s">
        <v>188</v>
      </c>
      <c r="H114" s="18" t="s">
        <v>151</v>
      </c>
      <c r="I114" s="22">
        <v>46086</v>
      </c>
      <c r="J114" s="22">
        <v>46034</v>
      </c>
      <c r="K114" s="22">
        <v>46040</v>
      </c>
    </row>
    <row r="115" spans="1:11">
      <c r="A115" s="18" t="s">
        <v>151</v>
      </c>
      <c r="B115" s="18" t="s">
        <v>20</v>
      </c>
      <c r="C115" s="19" t="s">
        <v>273</v>
      </c>
      <c r="D115" s="20">
        <v>2</v>
      </c>
      <c r="E115" s="21">
        <v>1090.48</v>
      </c>
      <c r="F115" s="18" t="s">
        <v>153</v>
      </c>
      <c r="G115" s="18" t="s">
        <v>211</v>
      </c>
      <c r="H115" s="18" t="s">
        <v>151</v>
      </c>
      <c r="I115" s="22">
        <v>46065</v>
      </c>
      <c r="J115" s="22">
        <v>46027</v>
      </c>
      <c r="K115" s="22">
        <v>46033</v>
      </c>
    </row>
    <row r="116" spans="1:11" hidden="1">
      <c r="A116" s="18" t="s">
        <v>151</v>
      </c>
      <c r="B116" s="18" t="s">
        <v>22</v>
      </c>
      <c r="C116" s="19" t="s">
        <v>274</v>
      </c>
      <c r="D116" s="20">
        <v>1</v>
      </c>
      <c r="E116" s="21">
        <v>1496.03</v>
      </c>
      <c r="F116" s="18" t="s">
        <v>153</v>
      </c>
      <c r="G116" s="18" t="s">
        <v>158</v>
      </c>
      <c r="H116" s="18" t="s">
        <v>151</v>
      </c>
      <c r="I116" s="22">
        <v>46078</v>
      </c>
      <c r="J116" s="22">
        <v>46027</v>
      </c>
      <c r="K116" s="22">
        <v>46033</v>
      </c>
    </row>
    <row r="117" spans="1:11" hidden="1">
      <c r="A117" s="18" t="s">
        <v>151</v>
      </c>
      <c r="B117" s="18" t="s">
        <v>16</v>
      </c>
      <c r="C117" s="19" t="s">
        <v>275</v>
      </c>
      <c r="D117" s="20">
        <v>1</v>
      </c>
      <c r="E117" s="21">
        <v>1496.03</v>
      </c>
      <c r="F117" s="18" t="s">
        <v>153</v>
      </c>
      <c r="G117" s="18" t="s">
        <v>158</v>
      </c>
      <c r="H117" s="18" t="s">
        <v>151</v>
      </c>
      <c r="I117" s="22">
        <v>46078</v>
      </c>
      <c r="J117" s="22">
        <v>46027</v>
      </c>
      <c r="K117" s="22">
        <v>46033</v>
      </c>
    </row>
    <row r="118" spans="1:11" hidden="1">
      <c r="A118" s="18" t="s">
        <v>151</v>
      </c>
      <c r="B118" s="18" t="s">
        <v>13</v>
      </c>
      <c r="C118" s="19" t="s">
        <v>13</v>
      </c>
      <c r="D118" s="20">
        <v>2</v>
      </c>
      <c r="E118" s="21">
        <v>2992.06</v>
      </c>
      <c r="F118" s="18" t="s">
        <v>153</v>
      </c>
      <c r="G118" s="18" t="s">
        <v>158</v>
      </c>
      <c r="H118" s="18" t="s">
        <v>151</v>
      </c>
      <c r="I118" s="22">
        <v>46078</v>
      </c>
      <c r="J118" s="22">
        <v>46027</v>
      </c>
      <c r="K118" s="22">
        <v>46033</v>
      </c>
    </row>
    <row r="119" spans="1:11" hidden="1">
      <c r="A119" s="18" t="s">
        <v>151</v>
      </c>
      <c r="B119" s="18" t="s">
        <v>13</v>
      </c>
      <c r="C119" s="19" t="s">
        <v>276</v>
      </c>
      <c r="D119" s="20">
        <v>0.5</v>
      </c>
      <c r="E119" s="21">
        <v>477.78</v>
      </c>
      <c r="F119" s="18" t="s">
        <v>153</v>
      </c>
      <c r="G119" s="18" t="s">
        <v>216</v>
      </c>
      <c r="H119" s="18" t="s">
        <v>151</v>
      </c>
      <c r="I119" s="22">
        <v>46079</v>
      </c>
      <c r="J119" s="22">
        <v>46027</v>
      </c>
      <c r="K119" s="22">
        <v>46033</v>
      </c>
    </row>
    <row r="120" spans="1:11">
      <c r="A120" s="18" t="s">
        <v>151</v>
      </c>
      <c r="B120" s="18" t="s">
        <v>21</v>
      </c>
      <c r="C120" s="19" t="s">
        <v>277</v>
      </c>
      <c r="D120" s="20">
        <v>2</v>
      </c>
      <c r="E120" s="21">
        <v>1911.12</v>
      </c>
      <c r="F120" s="18" t="s">
        <v>153</v>
      </c>
      <c r="G120" s="18" t="s">
        <v>216</v>
      </c>
      <c r="H120" s="18" t="s">
        <v>151</v>
      </c>
      <c r="I120" s="22">
        <v>46079</v>
      </c>
      <c r="J120" s="22">
        <v>46027</v>
      </c>
      <c r="K120" s="22">
        <v>46033</v>
      </c>
    </row>
    <row r="121" spans="1:11" hidden="1">
      <c r="A121" s="18" t="s">
        <v>151</v>
      </c>
      <c r="B121" s="18" t="s">
        <v>18</v>
      </c>
      <c r="C121" s="19" t="s">
        <v>278</v>
      </c>
      <c r="D121" s="20">
        <v>0.1</v>
      </c>
      <c r="E121" s="21">
        <v>121.35</v>
      </c>
      <c r="F121" s="18" t="s">
        <v>153</v>
      </c>
      <c r="G121" s="18" t="s">
        <v>161</v>
      </c>
      <c r="H121" s="18" t="s">
        <v>151</v>
      </c>
      <c r="I121" s="22">
        <v>46081</v>
      </c>
      <c r="J121" s="22">
        <v>46027</v>
      </c>
      <c r="K121" s="22">
        <v>46033</v>
      </c>
    </row>
    <row r="122" spans="1:11" hidden="1">
      <c r="A122" s="18" t="s">
        <v>151</v>
      </c>
      <c r="B122" s="18" t="s">
        <v>14</v>
      </c>
      <c r="C122" s="19" t="s">
        <v>279</v>
      </c>
      <c r="D122" s="20">
        <v>0.3</v>
      </c>
      <c r="E122" s="21">
        <v>364.05</v>
      </c>
      <c r="F122" s="18" t="s">
        <v>153</v>
      </c>
      <c r="G122" s="18" t="s">
        <v>161</v>
      </c>
      <c r="H122" s="18" t="s">
        <v>151</v>
      </c>
      <c r="I122" s="22">
        <v>46081</v>
      </c>
      <c r="J122" s="22">
        <v>46027</v>
      </c>
      <c r="K122" s="22">
        <v>46033</v>
      </c>
    </row>
    <row r="123" spans="1:11" hidden="1">
      <c r="A123" s="18" t="s">
        <v>151</v>
      </c>
      <c r="B123" s="18" t="s">
        <v>13</v>
      </c>
      <c r="C123" s="19" t="s">
        <v>280</v>
      </c>
      <c r="D123" s="20">
        <v>1.3</v>
      </c>
      <c r="E123" s="21">
        <v>1577.54</v>
      </c>
      <c r="F123" s="18" t="s">
        <v>153</v>
      </c>
      <c r="G123" s="18" t="s">
        <v>161</v>
      </c>
      <c r="H123" s="18" t="s">
        <v>151</v>
      </c>
      <c r="I123" s="22">
        <v>46081</v>
      </c>
      <c r="J123" s="22">
        <v>46027</v>
      </c>
      <c r="K123" s="22">
        <v>46033</v>
      </c>
    </row>
    <row r="124" spans="1:11">
      <c r="A124" s="18" t="s">
        <v>151</v>
      </c>
      <c r="B124" s="18" t="s">
        <v>21</v>
      </c>
      <c r="C124" s="19" t="s">
        <v>280</v>
      </c>
      <c r="D124" s="20">
        <v>0.3</v>
      </c>
      <c r="E124" s="21">
        <v>364.05</v>
      </c>
      <c r="F124" s="18" t="s">
        <v>153</v>
      </c>
      <c r="G124" s="18" t="s">
        <v>161</v>
      </c>
      <c r="H124" s="18" t="s">
        <v>151</v>
      </c>
      <c r="I124" s="22">
        <v>46081</v>
      </c>
      <c r="J124" s="22">
        <v>46027</v>
      </c>
      <c r="K124" s="22">
        <v>46033</v>
      </c>
    </row>
    <row r="125" spans="1:11" hidden="1">
      <c r="A125" s="18" t="s">
        <v>151</v>
      </c>
      <c r="B125" s="18" t="s">
        <v>13</v>
      </c>
      <c r="C125" s="19" t="s">
        <v>281</v>
      </c>
      <c r="D125" s="20">
        <v>0.5</v>
      </c>
      <c r="E125" s="21">
        <v>477.78</v>
      </c>
      <c r="F125" s="18" t="s">
        <v>153</v>
      </c>
      <c r="G125" s="18" t="s">
        <v>202</v>
      </c>
      <c r="H125" s="18" t="s">
        <v>151</v>
      </c>
      <c r="I125" s="22">
        <v>46083</v>
      </c>
      <c r="J125" s="22">
        <v>46027</v>
      </c>
      <c r="K125" s="22">
        <v>46033</v>
      </c>
    </row>
    <row r="126" spans="1:11" hidden="1">
      <c r="A126" s="18" t="s">
        <v>151</v>
      </c>
      <c r="B126" s="18" t="s">
        <v>14</v>
      </c>
      <c r="C126" s="19" t="s">
        <v>282</v>
      </c>
      <c r="D126" s="20">
        <v>1</v>
      </c>
      <c r="E126" s="21">
        <v>955.56</v>
      </c>
      <c r="F126" s="18" t="s">
        <v>153</v>
      </c>
      <c r="G126" s="18" t="s">
        <v>202</v>
      </c>
      <c r="H126" s="18" t="s">
        <v>151</v>
      </c>
      <c r="I126" s="22">
        <v>46083</v>
      </c>
      <c r="J126" s="22">
        <v>46027</v>
      </c>
      <c r="K126" s="22">
        <v>46033</v>
      </c>
    </row>
    <row r="127" spans="1:11">
      <c r="A127" s="18" t="s">
        <v>151</v>
      </c>
      <c r="B127" s="18" t="s">
        <v>23</v>
      </c>
      <c r="C127" s="19" t="s">
        <v>283</v>
      </c>
      <c r="D127" s="20">
        <v>1</v>
      </c>
      <c r="E127" s="21">
        <v>955.56</v>
      </c>
      <c r="F127" s="18" t="s">
        <v>153</v>
      </c>
      <c r="G127" s="18" t="s">
        <v>202</v>
      </c>
      <c r="H127" s="18" t="s">
        <v>151</v>
      </c>
      <c r="I127" s="22">
        <v>46083</v>
      </c>
      <c r="J127" s="22">
        <v>46027</v>
      </c>
      <c r="K127" s="22">
        <v>46033</v>
      </c>
    </row>
    <row r="128" spans="1:11">
      <c r="A128" s="18" t="s">
        <v>151</v>
      </c>
      <c r="B128" s="18" t="s">
        <v>21</v>
      </c>
      <c r="C128" s="19" t="s">
        <v>284</v>
      </c>
      <c r="D128" s="20">
        <v>0.5</v>
      </c>
      <c r="E128" s="21">
        <v>477.78</v>
      </c>
      <c r="F128" s="18" t="s">
        <v>153</v>
      </c>
      <c r="G128" s="18" t="s">
        <v>202</v>
      </c>
      <c r="H128" s="18" t="s">
        <v>151</v>
      </c>
      <c r="I128" s="22">
        <v>46083</v>
      </c>
      <c r="J128" s="22">
        <v>46027</v>
      </c>
      <c r="K128" s="22">
        <v>46033</v>
      </c>
    </row>
    <row r="129" spans="1:11" hidden="1">
      <c r="A129" s="18" t="s">
        <v>151</v>
      </c>
      <c r="B129" s="18" t="s">
        <v>15</v>
      </c>
      <c r="C129" s="23" t="s">
        <v>285</v>
      </c>
      <c r="D129" s="20">
        <v>2</v>
      </c>
      <c r="E129" s="21">
        <v>2089.68</v>
      </c>
      <c r="F129" s="18" t="s">
        <v>153</v>
      </c>
      <c r="G129" s="18" t="s">
        <v>165</v>
      </c>
      <c r="H129" s="18" t="s">
        <v>151</v>
      </c>
      <c r="I129" s="22">
        <v>46063</v>
      </c>
      <c r="J129" s="22">
        <v>46027</v>
      </c>
      <c r="K129" s="22">
        <v>46033</v>
      </c>
    </row>
    <row r="130" spans="1:11" hidden="1">
      <c r="A130" s="18" t="s">
        <v>151</v>
      </c>
      <c r="B130" s="18" t="s">
        <v>14</v>
      </c>
      <c r="C130" s="23" t="s">
        <v>286</v>
      </c>
      <c r="D130" s="20">
        <v>1</v>
      </c>
      <c r="E130" s="21">
        <v>1044.84</v>
      </c>
      <c r="F130" s="18" t="s">
        <v>153</v>
      </c>
      <c r="G130" s="18" t="s">
        <v>165</v>
      </c>
      <c r="H130" s="18" t="s">
        <v>151</v>
      </c>
      <c r="I130" s="22">
        <v>46063</v>
      </c>
      <c r="J130" s="22">
        <v>46027</v>
      </c>
      <c r="K130" s="22">
        <v>46033</v>
      </c>
    </row>
    <row r="131" spans="1:11">
      <c r="A131" s="18" t="s">
        <v>151</v>
      </c>
      <c r="B131" s="18" t="s">
        <v>17</v>
      </c>
      <c r="C131" s="23" t="s">
        <v>287</v>
      </c>
      <c r="D131" s="20">
        <v>2</v>
      </c>
      <c r="E131" s="21">
        <v>2089.68</v>
      </c>
      <c r="F131" s="18" t="s">
        <v>153</v>
      </c>
      <c r="G131" s="18" t="s">
        <v>165</v>
      </c>
      <c r="H131" s="18" t="s">
        <v>151</v>
      </c>
      <c r="I131" s="22">
        <v>46063</v>
      </c>
      <c r="J131" s="22">
        <v>46027</v>
      </c>
      <c r="K131" s="22">
        <v>46033</v>
      </c>
    </row>
    <row r="132" spans="1:11" hidden="1">
      <c r="A132" s="18" t="s">
        <v>151</v>
      </c>
      <c r="B132" s="18" t="s">
        <v>22</v>
      </c>
      <c r="C132" s="19" t="s">
        <v>288</v>
      </c>
      <c r="D132" s="20">
        <v>0.5</v>
      </c>
      <c r="E132" s="21">
        <v>375</v>
      </c>
      <c r="F132" s="18" t="s">
        <v>153</v>
      </c>
      <c r="G132" s="18" t="s">
        <v>167</v>
      </c>
      <c r="H132" s="18" t="s">
        <v>151</v>
      </c>
      <c r="I132" s="22">
        <v>46081</v>
      </c>
      <c r="J132" s="22">
        <v>46027</v>
      </c>
      <c r="K132" s="22">
        <v>46033</v>
      </c>
    </row>
    <row r="133" spans="1:11">
      <c r="A133" s="18" t="s">
        <v>151</v>
      </c>
      <c r="B133" s="18" t="s">
        <v>17</v>
      </c>
      <c r="C133" s="23" t="s">
        <v>289</v>
      </c>
      <c r="D133" s="20">
        <v>1</v>
      </c>
      <c r="E133" s="21">
        <v>750</v>
      </c>
      <c r="F133" s="18" t="s">
        <v>153</v>
      </c>
      <c r="G133" s="18" t="s">
        <v>188</v>
      </c>
      <c r="H133" s="18" t="s">
        <v>151</v>
      </c>
      <c r="I133" s="22">
        <v>46086</v>
      </c>
      <c r="J133" s="22">
        <v>46027</v>
      </c>
      <c r="K133" s="22">
        <v>46033</v>
      </c>
    </row>
    <row r="134" spans="1:11" hidden="1">
      <c r="A134" s="18" t="s">
        <v>151</v>
      </c>
      <c r="B134" s="18" t="s">
        <v>22</v>
      </c>
      <c r="C134" s="19" t="s">
        <v>290</v>
      </c>
      <c r="D134" s="20">
        <v>1.5</v>
      </c>
      <c r="E134" s="21">
        <v>1125</v>
      </c>
      <c r="F134" s="18" t="s">
        <v>153</v>
      </c>
      <c r="G134" s="18" t="s">
        <v>188</v>
      </c>
      <c r="H134" s="18" t="s">
        <v>151</v>
      </c>
      <c r="I134" s="22">
        <v>46086</v>
      </c>
      <c r="J134" s="22">
        <v>46027</v>
      </c>
      <c r="K134" s="22">
        <v>46033</v>
      </c>
    </row>
  </sheetData>
  <autoFilter ref="B3:B134">
    <filterColumn colId="0">
      <filters blank="0">
        <filter val="两个覆盖"/>
        <filter val="人民建议征集"/>
        <filter val="新就业群体"/>
        <filter val="行业协会商会"/>
        <filter val="一张图"/>
        <filter val="AI数字社区"/>
      </filters>
    </filterColumn>
    <sortState ref="B4:B134"/>
  </autoFilter>
  <mergeCells count="2">
    <mergeCell ref="A1:K1"/>
    <mergeCell ref="A2:K2"/>
  </mergeCells>
</worksheet>
</file>

<file path=xl/worksheets/sheet5.xml><?xml version="1.0" encoding="utf-8"?>
<worksheet xmlns="http://schemas.openxmlformats.org/spreadsheetml/2006/main">
  <sheetPr codeName="原始表-商机">
    <tabColor/>
  </sheetPr>
  <dimension ref="F122"/>
  <sheetViews>
    <sheetView showGridLines="1" workbookViewId="0"/>
  </sheetViews>
  <sheetFormatPr baseColWidth="13" defaultRowHeight="18" customHeight="1"/>
  <cols>
    <col min="1" max="14" width="21.7109" customWidth="1"/>
  </cols>
  <sheetData>
    <row r="1" spans="1:14">
      <c r="A1" s="16" t="s">
        <v>505</v>
      </c>
      <c r="F1" s="19" t="s"/>
      <c r="G1" s="16" t="s"/>
      <c r="H1" s="16" t="s"/>
      <c r="I1" s="16" t="s"/>
      <c r="J1" s="16" t="s"/>
      <c r="K1" s="16" t="s"/>
      <c r="L1" s="16" t="s"/>
      <c r="M1" s="16" t="s"/>
      <c r="N1" s="16" t="s"/>
    </row>
    <row r="2" spans="1:14">
      <c r="A2" s="24" t="s">
        <v>859</v>
      </c>
      <c r="F2" s="19" t="s"/>
      <c r="G2" s="24" t="s"/>
      <c r="H2" s="24" t="s"/>
      <c r="I2" s="24" t="s"/>
      <c r="J2" s="24" t="s"/>
      <c r="K2" s="24" t="s"/>
      <c r="L2" s="24" t="s"/>
      <c r="M2" s="24" t="s"/>
      <c r="N2" s="24" t="s"/>
    </row>
    <row r="3" spans="1:14">
      <c r="A3" s="19" t="s">
        <v>507</v>
      </c>
      <c r="B3" s="19" t="s">
        <v>508</v>
      </c>
      <c r="C3" s="19" t="s">
        <v>31</v>
      </c>
      <c r="D3" s="19" t="s">
        <v>32</v>
      </c>
      <c r="E3" s="19" t="s">
        <v>146</v>
      </c>
      <c r="F3" s="19" t="s"/>
      <c r="G3" s="19" t="s"/>
      <c r="H3" s="19" t="s"/>
      <c r="I3" s="19" t="s"/>
      <c r="J3" s="19" t="s"/>
      <c r="K3" s="19" t="s"/>
      <c r="L3" s="19" t="s"/>
      <c r="M3" s="19" t="s"/>
      <c r="N3" s="19" t="s"/>
    </row>
    <row r="4" spans="1:14">
      <c r="A4" s="19" t="s">
        <v>61</v>
      </c>
      <c r="B4" s="19" t="s">
        <v>60</v>
      </c>
      <c r="C4" s="25">
        <v>3</v>
      </c>
      <c r="D4" s="26">
        <v>1831.83</v>
      </c>
      <c r="E4" s="19" t="s">
        <v>512</v>
      </c>
      <c r="F4" s="19" t="s"/>
      <c r="G4" s="25" t="s"/>
      <c r="H4" s="26" t="s"/>
      <c r="I4" s="19" t="s"/>
      <c r="J4" s="19" t="s"/>
      <c r="K4" s="19" t="s"/>
      <c r="L4" s="27" t="s"/>
      <c r="M4" s="27" t="s"/>
      <c r="N4" s="27" t="s"/>
    </row>
    <row r="5" spans="1:14">
      <c r="A5" s="19" t="s">
        <v>55</v>
      </c>
      <c r="B5" s="19" t="s">
        <v>54</v>
      </c>
      <c r="C5" s="25">
        <v>2</v>
      </c>
      <c r="D5" s="26">
        <v>1221.22</v>
      </c>
      <c r="E5" s="19" t="s">
        <v>512</v>
      </c>
      <c r="F5" s="19" t="s"/>
      <c r="G5" s="25" t="s"/>
      <c r="H5" s="26" t="s"/>
      <c r="I5" s="19" t="s"/>
      <c r="J5" s="19" t="s"/>
      <c r="K5" s="19" t="s"/>
      <c r="L5" s="27" t="s"/>
      <c r="M5" s="27" t="s"/>
      <c r="N5" s="27" t="s"/>
    </row>
    <row r="6" spans="1:14">
      <c r="A6" s="19" t="s">
        <v>61</v>
      </c>
      <c r="B6" s="19" t="s">
        <v>60</v>
      </c>
      <c r="C6" s="25">
        <v>0.2</v>
      </c>
      <c r="D6" s="26">
        <v>172.5</v>
      </c>
      <c r="E6" s="19" t="s">
        <v>297</v>
      </c>
      <c r="F6" s="19" t="s"/>
      <c r="G6" s="25" t="s"/>
      <c r="H6" s="26" t="s"/>
      <c r="I6" s="19" t="s"/>
      <c r="J6" s="19" t="s"/>
      <c r="K6" s="19" t="s"/>
      <c r="L6" s="27" t="s"/>
      <c r="M6" s="27" t="s"/>
      <c r="N6" s="27" t="s"/>
    </row>
    <row r="7" spans="1:14">
      <c r="A7" s="19" t="s">
        <v>63</v>
      </c>
      <c r="B7" s="19" t="s">
        <v>62</v>
      </c>
      <c r="C7" s="25">
        <v>0.3</v>
      </c>
      <c r="D7" s="26">
        <v>347.5</v>
      </c>
      <c r="E7" s="19" t="s">
        <v>161</v>
      </c>
      <c r="F7" s="19" t="s"/>
      <c r="G7" s="25" t="s"/>
      <c r="H7" s="26" t="s"/>
      <c r="I7" s="19" t="s"/>
      <c r="J7" s="19" t="s"/>
      <c r="K7" s="19" t="s"/>
      <c r="L7" s="27" t="s"/>
      <c r="M7" s="27" t="s"/>
      <c r="N7" s="27" t="s"/>
    </row>
    <row r="8" spans="1:14">
      <c r="A8" s="19" t="s">
        <v>63</v>
      </c>
      <c r="B8" s="19" t="s">
        <v>62</v>
      </c>
      <c r="C8" s="25">
        <v>5</v>
      </c>
      <c r="D8" s="26">
        <v>4312.5</v>
      </c>
      <c r="E8" s="19" t="s">
        <v>517</v>
      </c>
      <c r="F8" s="19" t="s"/>
      <c r="G8" s="25" t="s"/>
      <c r="H8" s="26" t="s"/>
      <c r="I8" s="19" t="s"/>
      <c r="J8" s="19" t="s"/>
      <c r="K8" s="19" t="s"/>
      <c r="L8" s="27" t="s"/>
      <c r="M8" s="27" t="s"/>
      <c r="N8" s="27" t="s"/>
    </row>
    <row r="9" spans="1:14">
      <c r="A9" s="19" t="s">
        <v>59</v>
      </c>
      <c r="B9" s="19" t="s">
        <v>58</v>
      </c>
      <c r="C9" s="25">
        <v>1</v>
      </c>
      <c r="D9" s="26">
        <v>610.61</v>
      </c>
      <c r="E9" s="19" t="s">
        <v>512</v>
      </c>
      <c r="F9" s="19" t="s"/>
      <c r="G9" s="25" t="s"/>
      <c r="H9" s="26" t="s"/>
      <c r="I9" s="19" t="s"/>
      <c r="J9" s="19" t="s"/>
      <c r="K9" s="19" t="s"/>
      <c r="L9" s="27" t="s"/>
      <c r="M9" s="27" t="s"/>
      <c r="N9" s="27" t="s"/>
    </row>
    <row r="10" spans="1:14">
      <c r="A10" s="19" t="s">
        <v>61</v>
      </c>
      <c r="B10" s="19" t="s">
        <v>60</v>
      </c>
      <c r="C10" s="25">
        <v>3</v>
      </c>
      <c r="D10" s="26">
        <v>1831.83</v>
      </c>
      <c r="E10" s="19" t="s">
        <v>512</v>
      </c>
      <c r="F10" s="19" t="s"/>
      <c r="G10" s="25" t="s"/>
      <c r="H10" s="26" t="s"/>
      <c r="I10" s="19" t="s"/>
      <c r="J10" s="19" t="s"/>
      <c r="K10" s="19" t="s"/>
      <c r="L10" s="27" t="s"/>
      <c r="M10" s="27" t="s"/>
      <c r="N10" s="27" t="s"/>
    </row>
    <row r="11" spans="1:14">
      <c r="A11" s="19" t="s">
        <v>47</v>
      </c>
      <c r="B11" s="19" t="s">
        <v>46</v>
      </c>
      <c r="C11" s="25">
        <v>1</v>
      </c>
      <c r="D11" s="26">
        <v>610.61</v>
      </c>
      <c r="E11" s="19" t="s">
        <v>512</v>
      </c>
      <c r="F11" s="19" t="s"/>
      <c r="G11" s="25" t="s"/>
      <c r="H11" s="26" t="s"/>
      <c r="I11" s="19" t="s"/>
      <c r="J11" s="19" t="s"/>
      <c r="K11" s="19" t="s"/>
      <c r="L11" s="27" t="s"/>
      <c r="M11" s="27" t="s"/>
      <c r="N11" s="27" t="s"/>
    </row>
    <row r="12" spans="1:14">
      <c r="A12" s="19" t="s">
        <v>65</v>
      </c>
      <c r="B12" s="19" t="s">
        <v>64</v>
      </c>
      <c r="C12" s="25">
        <v>1</v>
      </c>
      <c r="D12" s="26">
        <v>1428.03</v>
      </c>
      <c r="E12" s="19" t="s">
        <v>158</v>
      </c>
      <c r="F12" s="19" t="s"/>
      <c r="G12" s="25" t="s"/>
      <c r="H12" s="26" t="s"/>
      <c r="I12" s="19" t="s"/>
      <c r="J12" s="19" t="s"/>
      <c r="K12" s="19" t="s"/>
      <c r="L12" s="27" t="s"/>
      <c r="M12" s="27" t="s"/>
      <c r="N12" s="27" t="s"/>
    </row>
    <row r="13" spans="1:14">
      <c r="A13" s="19" t="s">
        <v>63</v>
      </c>
      <c r="B13" s="19" t="s">
        <v>62</v>
      </c>
      <c r="C13" s="25">
        <v>0.6</v>
      </c>
      <c r="D13" s="26">
        <v>695</v>
      </c>
      <c r="E13" s="19" t="s">
        <v>161</v>
      </c>
      <c r="F13" s="19" t="s"/>
      <c r="G13" s="25" t="s"/>
      <c r="H13" s="26" t="s"/>
      <c r="I13" s="19" t="s"/>
      <c r="J13" s="19" t="s"/>
      <c r="K13" s="19" t="s"/>
      <c r="L13" s="27" t="s"/>
      <c r="M13" s="27" t="s"/>
      <c r="N13" s="27" t="s"/>
    </row>
    <row r="14" spans="1:14">
      <c r="A14" s="19" t="s">
        <v>69</v>
      </c>
      <c r="B14" s="19" t="s">
        <v>68</v>
      </c>
      <c r="C14" s="25">
        <v>1.5</v>
      </c>
      <c r="D14" s="26">
        <v>1368.18</v>
      </c>
      <c r="E14" s="19" t="s">
        <v>202</v>
      </c>
      <c r="F14" s="19" t="s"/>
      <c r="G14" s="25" t="s"/>
      <c r="H14" s="26" t="s"/>
      <c r="I14" s="19" t="s"/>
      <c r="J14" s="19" t="s"/>
      <c r="K14" s="19" t="s"/>
      <c r="L14" s="27" t="s"/>
      <c r="M14" s="27" t="s"/>
      <c r="N14" s="27" t="s"/>
    </row>
    <row r="15" spans="1:14">
      <c r="A15" s="19" t="s">
        <v>67</v>
      </c>
      <c r="B15" s="19" t="s">
        <v>66</v>
      </c>
      <c r="C15" s="25">
        <v>1.5</v>
      </c>
      <c r="D15" s="26">
        <v>1368.18</v>
      </c>
      <c r="E15" s="19" t="s">
        <v>202</v>
      </c>
      <c r="F15" s="19" t="s"/>
      <c r="G15" s="25" t="s"/>
      <c r="H15" s="26" t="s"/>
      <c r="I15" s="19" t="s"/>
      <c r="J15" s="19" t="s"/>
      <c r="K15" s="19" t="s"/>
      <c r="L15" s="27" t="s"/>
      <c r="M15" s="27" t="s"/>
      <c r="N15" s="27" t="s"/>
    </row>
    <row r="16" spans="1:14">
      <c r="A16" s="19" t="s">
        <v>65</v>
      </c>
      <c r="B16" s="19" t="s">
        <v>64</v>
      </c>
      <c r="C16" s="25">
        <v>2</v>
      </c>
      <c r="D16" s="26">
        <v>1824.24</v>
      </c>
      <c r="E16" s="19" t="s">
        <v>363</v>
      </c>
      <c r="F16" s="19" t="s"/>
      <c r="G16" s="25" t="s"/>
      <c r="H16" s="26" t="s"/>
      <c r="I16" s="19" t="s"/>
      <c r="J16" s="19" t="s"/>
      <c r="K16" s="19" t="s"/>
      <c r="L16" s="27" t="s"/>
      <c r="M16" s="27" t="s"/>
      <c r="N16" s="27" t="s"/>
    </row>
    <row r="17" spans="1:14">
      <c r="A17" s="19" t="s">
        <v>55</v>
      </c>
      <c r="B17" s="19" t="s">
        <v>54</v>
      </c>
      <c r="C17" s="25">
        <v>2</v>
      </c>
      <c r="D17" s="26">
        <v>1431.82</v>
      </c>
      <c r="E17" s="19" t="s">
        <v>188</v>
      </c>
      <c r="F17" s="19" t="s"/>
      <c r="G17" s="25" t="s"/>
      <c r="H17" s="26" t="s"/>
      <c r="I17" s="19" t="s"/>
      <c r="J17" s="19" t="s"/>
      <c r="K17" s="19" t="s"/>
      <c r="L17" s="27" t="s"/>
      <c r="M17" s="27" t="s"/>
      <c r="N17" s="27" t="s"/>
    </row>
    <row r="18" spans="1:14">
      <c r="A18" s="19" t="s">
        <v>65</v>
      </c>
      <c r="B18" s="19" t="s">
        <v>64</v>
      </c>
      <c r="C18" s="25">
        <v>2</v>
      </c>
      <c r="D18" s="26">
        <v>1431.82</v>
      </c>
      <c r="E18" s="19" t="s">
        <v>188</v>
      </c>
      <c r="F18" s="19" t="s"/>
      <c r="G18" s="25" t="s"/>
      <c r="H18" s="26" t="s"/>
      <c r="I18" s="19" t="s"/>
      <c r="J18" s="19" t="s"/>
      <c r="K18" s="19" t="s"/>
      <c r="L18" s="27" t="s"/>
      <c r="M18" s="27" t="s"/>
      <c r="N18" s="27" t="s"/>
    </row>
    <row r="19" spans="1:14">
      <c r="A19" s="19" t="s">
        <v>65</v>
      </c>
      <c r="B19" s="19" t="s">
        <v>64</v>
      </c>
      <c r="C19" s="25">
        <v>1</v>
      </c>
      <c r="D19" s="26">
        <v>715.91</v>
      </c>
      <c r="E19" s="19" t="s">
        <v>188</v>
      </c>
      <c r="F19" s="19" t="s"/>
      <c r="G19" s="25" t="s"/>
      <c r="H19" s="26" t="s"/>
      <c r="I19" s="19" t="s"/>
      <c r="J19" s="19" t="s"/>
      <c r="K19" s="19" t="s"/>
      <c r="L19" s="27" t="s"/>
      <c r="M19" s="27" t="s"/>
      <c r="N19" s="27" t="s"/>
    </row>
    <row r="20" spans="1:14">
      <c r="A20" s="19" t="s">
        <v>65</v>
      </c>
      <c r="B20" s="19" t="s">
        <v>64</v>
      </c>
      <c r="C20" s="25">
        <v>0.2</v>
      </c>
      <c r="D20" s="26">
        <v>172.5</v>
      </c>
      <c r="E20" s="19" t="s">
        <v>154</v>
      </c>
      <c r="F20" s="19" t="s"/>
      <c r="G20" s="25" t="s"/>
      <c r="H20" s="26" t="s"/>
      <c r="I20" s="19" t="s"/>
      <c r="J20" s="19" t="s"/>
      <c r="K20" s="19" t="s"/>
      <c r="L20" s="27" t="s"/>
      <c r="M20" s="27" t="s"/>
      <c r="N20" s="27" t="s"/>
    </row>
    <row r="21" spans="1:14">
      <c r="A21" s="19" t="s">
        <v>59</v>
      </c>
      <c r="B21" s="19" t="s">
        <v>58</v>
      </c>
      <c r="C21" s="25">
        <v>2</v>
      </c>
      <c r="D21" s="26">
        <v>1221.22</v>
      </c>
      <c r="E21" s="19" t="s">
        <v>512</v>
      </c>
      <c r="F21" s="19" t="s"/>
      <c r="G21" s="25" t="s"/>
      <c r="H21" s="26" t="s"/>
      <c r="I21" s="19" t="s"/>
      <c r="J21" s="19" t="s"/>
      <c r="K21" s="19" t="s"/>
      <c r="L21" s="27" t="s"/>
      <c r="M21" s="27" t="s"/>
      <c r="N21" s="27" t="s"/>
    </row>
    <row r="22" spans="1:14">
      <c r="A22" s="19" t="s">
        <v>55</v>
      </c>
      <c r="B22" s="19" t="s">
        <v>54</v>
      </c>
      <c r="C22" s="25">
        <v>2</v>
      </c>
      <c r="D22" s="26">
        <v>1221.22</v>
      </c>
      <c r="E22" s="19" t="s">
        <v>512</v>
      </c>
      <c r="F22" s="19" t="s"/>
      <c r="G22" s="25" t="s"/>
      <c r="H22" s="26" t="s"/>
      <c r="I22" s="19" t="s"/>
      <c r="J22" s="19" t="s"/>
      <c r="K22" s="19" t="s"/>
      <c r="L22" s="27" t="s"/>
      <c r="M22" s="27" t="s"/>
      <c r="N22" s="27" t="s"/>
    </row>
    <row r="23" spans="1:14">
      <c r="A23" s="19" t="s">
        <v>61</v>
      </c>
      <c r="B23" s="19" t="s">
        <v>60</v>
      </c>
      <c r="C23" s="25">
        <v>1</v>
      </c>
      <c r="D23" s="26">
        <v>610.61</v>
      </c>
      <c r="E23" s="19" t="s">
        <v>512</v>
      </c>
      <c r="F23" s="19" t="s"/>
      <c r="G23" s="25" t="s"/>
      <c r="H23" s="26" t="s"/>
      <c r="I23" s="19" t="s"/>
      <c r="J23" s="19" t="s"/>
      <c r="K23" s="19" t="s"/>
      <c r="L23" s="27" t="s"/>
      <c r="M23" s="27" t="s"/>
      <c r="N23" s="27" t="s"/>
    </row>
    <row r="24" spans="1:14">
      <c r="A24" s="19" t="s">
        <v>67</v>
      </c>
      <c r="B24" s="19" t="s">
        <v>66</v>
      </c>
      <c r="C24" s="25">
        <v>1</v>
      </c>
      <c r="D24" s="26">
        <v>912.12</v>
      </c>
      <c r="E24" s="19" t="s">
        <v>216</v>
      </c>
      <c r="F24" s="19" t="s"/>
      <c r="G24" s="25" t="s"/>
      <c r="H24" s="26" t="s"/>
      <c r="I24" s="19" t="s"/>
      <c r="J24" s="19" t="s"/>
      <c r="K24" s="19" t="s"/>
      <c r="L24" s="27" t="s"/>
      <c r="M24" s="27" t="s"/>
      <c r="N24" s="27" t="s"/>
    </row>
    <row r="25" spans="1:14">
      <c r="A25" s="19" t="s">
        <v>63</v>
      </c>
      <c r="B25" s="19" t="s">
        <v>62</v>
      </c>
      <c r="C25" s="25">
        <v>1</v>
      </c>
      <c r="D25" s="26">
        <v>1158.33</v>
      </c>
      <c r="E25" s="19" t="s">
        <v>161</v>
      </c>
      <c r="F25" s="19" t="s"/>
      <c r="G25" s="25" t="s"/>
      <c r="H25" s="26" t="s"/>
      <c r="I25" s="19" t="s"/>
      <c r="J25" s="19" t="s"/>
      <c r="K25" s="19" t="s"/>
      <c r="L25" s="27" t="s"/>
      <c r="M25" s="27" t="s"/>
      <c r="N25" s="27" t="s"/>
    </row>
    <row r="26" spans="1:14">
      <c r="A26" s="19" t="s">
        <v>65</v>
      </c>
      <c r="B26" s="19" t="s">
        <v>64</v>
      </c>
      <c r="C26" s="25">
        <v>2.5</v>
      </c>
      <c r="D26" s="26">
        <v>1789.78</v>
      </c>
      <c r="E26" s="19" t="s">
        <v>188</v>
      </c>
      <c r="F26" s="19" t="s"/>
      <c r="G26" s="25" t="s"/>
      <c r="H26" s="26" t="s"/>
      <c r="I26" s="19" t="s"/>
      <c r="J26" s="19" t="s"/>
      <c r="K26" s="19" t="s"/>
      <c r="L26" s="27" t="s"/>
      <c r="M26" s="27" t="s"/>
      <c r="N26" s="27" t="s"/>
    </row>
    <row r="27" spans="1:14">
      <c r="A27" s="19" t="s">
        <v>43</v>
      </c>
      <c r="B27" s="19" t="s">
        <v>42</v>
      </c>
      <c r="C27" s="25">
        <v>1.5</v>
      </c>
      <c r="D27" s="26">
        <v>1073.87</v>
      </c>
      <c r="E27" s="19" t="s">
        <v>188</v>
      </c>
      <c r="F27" s="19" t="s"/>
      <c r="G27" s="25" t="s"/>
      <c r="H27" s="26" t="s"/>
      <c r="I27" s="19" t="s"/>
      <c r="J27" s="19" t="s"/>
      <c r="K27" s="19" t="s"/>
      <c r="L27" s="27" t="s"/>
      <c r="M27" s="27" t="s"/>
      <c r="N27" s="27" t="s"/>
    </row>
    <row r="28" spans="1:14">
      <c r="A28" s="19" t="s">
        <v>69</v>
      </c>
      <c r="B28" s="19" t="s">
        <v>68</v>
      </c>
      <c r="C28" s="25">
        <v>1</v>
      </c>
      <c r="D28" s="26">
        <v>912.12</v>
      </c>
      <c r="E28" s="19" t="s">
        <v>202</v>
      </c>
      <c r="F28" s="19" t="s"/>
      <c r="G28" s="25" t="s"/>
      <c r="H28" s="26" t="s"/>
      <c r="I28" s="19" t="s"/>
      <c r="J28" s="19" t="s"/>
      <c r="K28" s="19" t="s"/>
      <c r="L28" s="27" t="s"/>
      <c r="M28" s="27" t="s"/>
      <c r="N28" s="27" t="s"/>
    </row>
    <row r="29" spans="1:14">
      <c r="A29" s="19" t="s">
        <v>67</v>
      </c>
      <c r="B29" s="19" t="s">
        <v>66</v>
      </c>
      <c r="C29" s="25">
        <v>1</v>
      </c>
      <c r="D29" s="26">
        <v>912.12</v>
      </c>
      <c r="E29" s="19" t="s">
        <v>202</v>
      </c>
      <c r="F29" s="19" t="s"/>
      <c r="G29" s="25" t="s"/>
      <c r="H29" s="26" t="s"/>
      <c r="I29" s="19" t="s"/>
      <c r="J29" s="19" t="s"/>
      <c r="K29" s="19" t="s"/>
      <c r="L29" s="27" t="s"/>
      <c r="M29" s="27" t="s"/>
      <c r="N29" s="27" t="s"/>
    </row>
    <row r="30" spans="1:14">
      <c r="A30" s="19" t="s">
        <v>65</v>
      </c>
      <c r="B30" s="19" t="s">
        <v>64</v>
      </c>
      <c r="C30" s="25">
        <v>2</v>
      </c>
      <c r="D30" s="26">
        <v>1824.24</v>
      </c>
      <c r="E30" s="19" t="s">
        <v>363</v>
      </c>
      <c r="F30" s="19" t="s"/>
      <c r="G30" s="25" t="s"/>
      <c r="H30" s="26" t="s"/>
      <c r="I30" s="19" t="s"/>
      <c r="J30" s="19" t="s"/>
      <c r="K30" s="19" t="s"/>
      <c r="L30" s="27" t="s"/>
      <c r="M30" s="27" t="s"/>
      <c r="N30" s="27" t="s"/>
    </row>
    <row r="31" spans="1:14">
      <c r="A31" s="19" t="s">
        <v>53</v>
      </c>
      <c r="B31" s="19" t="s">
        <v>52</v>
      </c>
      <c r="C31" s="25">
        <v>0.5</v>
      </c>
      <c r="D31" s="26">
        <v>431.25</v>
      </c>
      <c r="E31" s="19" t="s">
        <v>528</v>
      </c>
      <c r="F31" s="19" t="s"/>
      <c r="G31" s="25" t="s"/>
      <c r="H31" s="26" t="s"/>
      <c r="I31" s="19" t="s"/>
      <c r="J31" s="19" t="s"/>
      <c r="K31" s="19" t="s"/>
      <c r="L31" s="27" t="s"/>
      <c r="M31" s="27" t="s"/>
      <c r="N31" s="27" t="s"/>
    </row>
    <row r="32" spans="1:14">
      <c r="A32" s="19" t="s">
        <v>65</v>
      </c>
      <c r="B32" s="19" t="s">
        <v>64</v>
      </c>
      <c r="C32" s="25">
        <v>2</v>
      </c>
      <c r="D32" s="26">
        <v>1725</v>
      </c>
      <c r="E32" s="19" t="s">
        <v>517</v>
      </c>
      <c r="F32" s="19" t="s"/>
      <c r="G32" s="25" t="s"/>
      <c r="H32" s="26" t="s"/>
      <c r="I32" s="19" t="s"/>
      <c r="J32" s="19" t="s"/>
      <c r="K32" s="19" t="s"/>
      <c r="L32" s="27" t="s"/>
      <c r="M32" s="27" t="s"/>
      <c r="N32" s="27" t="s"/>
    </row>
    <row r="33" spans="1:14">
      <c r="A33" s="19" t="s">
        <v>67</v>
      </c>
      <c r="B33" s="19" t="s">
        <v>66</v>
      </c>
      <c r="C33" s="25">
        <v>1</v>
      </c>
      <c r="D33" s="26">
        <v>862.5</v>
      </c>
      <c r="E33" s="19" t="s">
        <v>517</v>
      </c>
      <c r="F33" s="19" t="s"/>
      <c r="G33" s="25" t="s"/>
      <c r="H33" s="26" t="s"/>
      <c r="I33" s="19" t="s"/>
      <c r="J33" s="19" t="s"/>
      <c r="K33" s="19" t="s"/>
      <c r="L33" s="27" t="s"/>
      <c r="M33" s="27" t="s"/>
      <c r="N33" s="27" t="s"/>
    </row>
    <row r="34" spans="1:14">
      <c r="A34" s="19" t="s">
        <v>69</v>
      </c>
      <c r="B34" s="19" t="s">
        <v>68</v>
      </c>
      <c r="C34" s="25">
        <v>2</v>
      </c>
      <c r="D34" s="26">
        <v>1725</v>
      </c>
      <c r="E34" s="19" t="s">
        <v>517</v>
      </c>
      <c r="F34" s="19" t="s"/>
      <c r="G34" s="25" t="s"/>
      <c r="H34" s="26" t="s"/>
      <c r="I34" s="19" t="s"/>
      <c r="J34" s="19" t="s"/>
      <c r="K34" s="19" t="s"/>
      <c r="L34" s="27" t="s"/>
      <c r="M34" s="27" t="s"/>
      <c r="N34" s="27" t="s"/>
    </row>
    <row r="35" spans="1:14">
      <c r="A35" s="19" t="s">
        <v>61</v>
      </c>
      <c r="B35" s="19" t="s">
        <v>60</v>
      </c>
      <c r="C35" s="25">
        <v>2</v>
      </c>
      <c r="D35" s="26">
        <v>1221.22</v>
      </c>
      <c r="E35" s="19" t="s">
        <v>512</v>
      </c>
      <c r="F35" s="19" t="s"/>
      <c r="G35" s="25" t="s"/>
      <c r="H35" s="26" t="s"/>
      <c r="I35" s="19" t="s"/>
      <c r="J35" s="19" t="s"/>
      <c r="K35" s="19" t="s"/>
      <c r="L35" s="27" t="s"/>
      <c r="M35" s="27" t="s"/>
      <c r="N35" s="27" t="s"/>
    </row>
    <row r="36" spans="1:14">
      <c r="A36" s="19" t="s">
        <v>55</v>
      </c>
      <c r="B36" s="19" t="s">
        <v>54</v>
      </c>
      <c r="C36" s="25">
        <v>1</v>
      </c>
      <c r="D36" s="26">
        <v>610.61</v>
      </c>
      <c r="E36" s="19" t="s">
        <v>512</v>
      </c>
      <c r="F36" s="19" t="s"/>
      <c r="G36" s="25" t="s"/>
      <c r="H36" s="26" t="s"/>
      <c r="I36" s="19" t="s"/>
      <c r="J36" s="19" t="s"/>
      <c r="K36" s="19" t="s"/>
      <c r="L36" s="27" t="s"/>
      <c r="M36" s="27" t="s"/>
      <c r="N36" s="27" t="s"/>
    </row>
    <row r="37" spans="1:14">
      <c r="A37" s="19" t="s">
        <v>53</v>
      </c>
      <c r="B37" s="19" t="s">
        <v>52</v>
      </c>
      <c r="C37" s="25">
        <v>2</v>
      </c>
      <c r="D37" s="26">
        <v>1221.22</v>
      </c>
      <c r="E37" s="19" t="s">
        <v>512</v>
      </c>
      <c r="F37" s="19" t="s"/>
      <c r="G37" s="25" t="s"/>
      <c r="H37" s="26" t="s"/>
      <c r="I37" s="19" t="s"/>
      <c r="J37" s="19" t="s"/>
      <c r="K37" s="19" t="s"/>
      <c r="L37" s="27" t="s"/>
      <c r="M37" s="27" t="s"/>
      <c r="N37" s="27" t="s"/>
    </row>
    <row r="38" spans="1:14">
      <c r="A38" s="19" t="s">
        <v>53</v>
      </c>
      <c r="B38" s="19" t="s">
        <v>52</v>
      </c>
      <c r="C38" s="25">
        <v>1</v>
      </c>
      <c r="D38" s="26">
        <v>862.5</v>
      </c>
      <c r="E38" s="19" t="s">
        <v>297</v>
      </c>
      <c r="F38" s="19" t="s"/>
      <c r="G38" s="25" t="s"/>
      <c r="H38" s="26" t="s"/>
      <c r="I38" s="19" t="s"/>
      <c r="J38" s="19" t="s"/>
      <c r="K38" s="19" t="s"/>
      <c r="L38" s="27" t="s"/>
      <c r="M38" s="27" t="s"/>
      <c r="N38" s="27" t="s"/>
    </row>
    <row r="39" spans="1:14">
      <c r="A39" s="19" t="s">
        <v>65</v>
      </c>
      <c r="B39" s="19" t="s">
        <v>64</v>
      </c>
      <c r="C39" s="25">
        <v>0.5</v>
      </c>
      <c r="D39" s="26">
        <v>714.02</v>
      </c>
      <c r="E39" s="19" t="s">
        <v>158</v>
      </c>
      <c r="F39" s="19" t="s"/>
      <c r="G39" s="25" t="s"/>
      <c r="H39" s="26" t="s"/>
      <c r="I39" s="19" t="s"/>
      <c r="J39" s="19" t="s"/>
      <c r="K39" s="19" t="s"/>
      <c r="L39" s="27" t="s"/>
      <c r="M39" s="27" t="s"/>
      <c r="N39" s="27" t="s"/>
    </row>
    <row r="40" spans="1:14">
      <c r="A40" s="19" t="s">
        <v>65</v>
      </c>
      <c r="B40" s="19" t="s">
        <v>64</v>
      </c>
      <c r="C40" s="25">
        <v>4</v>
      </c>
      <c r="D40" s="26">
        <v>3648.48</v>
      </c>
      <c r="E40" s="19" t="s">
        <v>363</v>
      </c>
      <c r="F40" s="19" t="s"/>
      <c r="G40" s="25" t="s"/>
      <c r="H40" s="26" t="s"/>
      <c r="I40" s="19" t="s"/>
      <c r="J40" s="19" t="s"/>
      <c r="K40" s="19" t="s"/>
      <c r="L40" s="27" t="s"/>
      <c r="M40" s="27" t="s"/>
      <c r="N40" s="27" t="s"/>
    </row>
    <row r="41" spans="1:14">
      <c r="A41" s="19" t="s">
        <v>53</v>
      </c>
      <c r="B41" s="19" t="s">
        <v>52</v>
      </c>
      <c r="C41" s="25">
        <v>2.5</v>
      </c>
      <c r="D41" s="26">
        <v>1789.78</v>
      </c>
      <c r="E41" s="19" t="s">
        <v>188</v>
      </c>
      <c r="F41" s="19" t="s"/>
      <c r="G41" s="25" t="s"/>
      <c r="H41" s="26" t="s"/>
      <c r="I41" s="19" t="s"/>
      <c r="J41" s="19" t="s"/>
      <c r="K41" s="19" t="s"/>
      <c r="L41" s="27" t="s"/>
      <c r="M41" s="27" t="s"/>
      <c r="N41" s="27" t="s"/>
    </row>
    <row r="42" spans="1:14">
      <c r="A42" s="19" t="s">
        <v>43</v>
      </c>
      <c r="B42" s="19" t="s">
        <v>42</v>
      </c>
      <c r="C42" s="25">
        <v>1.5</v>
      </c>
      <c r="D42" s="26">
        <v>1073.87</v>
      </c>
      <c r="E42" s="19" t="s">
        <v>188</v>
      </c>
      <c r="F42" s="19" t="s"/>
      <c r="G42" s="25" t="s"/>
      <c r="H42" s="26" t="s"/>
      <c r="I42" s="19" t="s"/>
      <c r="J42" s="19" t="s"/>
      <c r="K42" s="19" t="s"/>
      <c r="L42" s="27" t="s"/>
      <c r="M42" s="27" t="s"/>
      <c r="N42" s="27" t="s"/>
    </row>
    <row r="43" spans="1:14">
      <c r="A43" s="19" t="s">
        <v>65</v>
      </c>
      <c r="B43" s="19" t="s">
        <v>64</v>
      </c>
      <c r="C43" s="25">
        <v>1</v>
      </c>
      <c r="D43" s="26">
        <v>715.91</v>
      </c>
      <c r="E43" s="19" t="s">
        <v>188</v>
      </c>
      <c r="F43" s="19" t="s"/>
      <c r="G43" s="25" t="s"/>
      <c r="H43" s="26" t="s"/>
      <c r="I43" s="19" t="s"/>
      <c r="J43" s="19" t="s"/>
      <c r="K43" s="19" t="s"/>
      <c r="L43" s="27" t="s"/>
      <c r="M43" s="27" t="s"/>
      <c r="N43" s="27" t="s"/>
    </row>
    <row r="44" spans="1:14">
      <c r="A44" s="19" t="s">
        <v>67</v>
      </c>
      <c r="B44" s="19" t="s">
        <v>66</v>
      </c>
      <c r="C44" s="25">
        <v>2</v>
      </c>
      <c r="D44" s="26">
        <v>1824.24</v>
      </c>
      <c r="E44" s="19" t="s">
        <v>202</v>
      </c>
      <c r="F44" s="19" t="s"/>
      <c r="G44" s="25" t="s"/>
      <c r="H44" s="26" t="s"/>
      <c r="I44" s="19" t="s"/>
      <c r="J44" s="19" t="s"/>
      <c r="K44" s="19" t="s"/>
      <c r="L44" s="27" t="s"/>
      <c r="M44" s="27" t="s"/>
      <c r="N44" s="27" t="s"/>
    </row>
    <row r="45" spans="1:14">
      <c r="A45" s="19" t="s">
        <v>65</v>
      </c>
      <c r="B45" s="19" t="s">
        <v>64</v>
      </c>
      <c r="C45" s="25">
        <v>0.5</v>
      </c>
      <c r="D45" s="26">
        <v>431.25</v>
      </c>
      <c r="E45" s="19" t="s">
        <v>154</v>
      </c>
      <c r="F45" s="19" t="s"/>
      <c r="G45" s="25" t="s"/>
      <c r="H45" s="26" t="s"/>
      <c r="I45" s="19" t="s"/>
      <c r="J45" s="19" t="s"/>
      <c r="K45" s="19" t="s"/>
      <c r="L45" s="27" t="s"/>
      <c r="M45" s="27" t="s"/>
      <c r="N45" s="27" t="s"/>
    </row>
    <row r="46" spans="1:14">
      <c r="A46" s="19" t="s">
        <v>53</v>
      </c>
      <c r="B46" s="19" t="s">
        <v>52</v>
      </c>
      <c r="C46" s="25">
        <v>3</v>
      </c>
      <c r="D46" s="26">
        <v>1831.83</v>
      </c>
      <c r="E46" s="19" t="s">
        <v>512</v>
      </c>
      <c r="F46" s="19" t="s"/>
      <c r="G46" s="25" t="s"/>
      <c r="H46" s="26" t="s"/>
      <c r="I46" s="19" t="s"/>
      <c r="J46" s="19" t="s"/>
      <c r="K46" s="19" t="s"/>
      <c r="L46" s="27" t="s"/>
      <c r="M46" s="27" t="s"/>
      <c r="N46" s="27" t="s"/>
    </row>
    <row r="47" spans="1:14">
      <c r="A47" s="19" t="s">
        <v>57</v>
      </c>
      <c r="B47" s="19" t="s">
        <v>56</v>
      </c>
      <c r="C47" s="25">
        <v>2</v>
      </c>
      <c r="D47" s="26">
        <v>1221.22</v>
      </c>
      <c r="E47" s="19" t="s">
        <v>512</v>
      </c>
      <c r="F47" s="19" t="s"/>
      <c r="G47" s="25" t="s"/>
      <c r="H47" s="26" t="s"/>
      <c r="I47" s="19" t="s"/>
      <c r="J47" s="19" t="s"/>
      <c r="K47" s="19" t="s"/>
      <c r="L47" s="27" t="s"/>
      <c r="M47" s="27" t="s"/>
      <c r="N47" s="27" t="s"/>
    </row>
    <row r="48" spans="1:14">
      <c r="A48" s="19" t="s">
        <v>53</v>
      </c>
      <c r="B48" s="19" t="s">
        <v>52</v>
      </c>
      <c r="C48" s="25">
        <v>1</v>
      </c>
      <c r="D48" s="26">
        <v>862.5</v>
      </c>
      <c r="E48" s="19" t="s">
        <v>297</v>
      </c>
      <c r="F48" s="19" t="s"/>
      <c r="G48" s="25" t="s"/>
      <c r="H48" s="26" t="s"/>
      <c r="I48" s="19" t="s"/>
      <c r="J48" s="19" t="s"/>
      <c r="K48" s="19" t="s"/>
      <c r="L48" s="27" t="s"/>
      <c r="M48" s="27" t="s"/>
      <c r="N48" s="27" t="s"/>
    </row>
    <row r="49" spans="1:14">
      <c r="A49" s="19" t="s">
        <v>65</v>
      </c>
      <c r="B49" s="19" t="s">
        <v>64</v>
      </c>
      <c r="C49" s="25">
        <v>0.4</v>
      </c>
      <c r="D49" s="26">
        <v>463.33</v>
      </c>
      <c r="E49" s="19" t="s">
        <v>161</v>
      </c>
      <c r="F49" s="19" t="s"/>
      <c r="G49" s="25" t="s"/>
      <c r="H49" s="26" t="s"/>
      <c r="I49" s="19" t="s"/>
      <c r="J49" s="19" t="s"/>
      <c r="K49" s="19" t="s"/>
      <c r="L49" s="27" t="s"/>
      <c r="M49" s="27" t="s"/>
      <c r="N49" s="27" t="s"/>
    </row>
    <row r="50" spans="1:14">
      <c r="A50" s="19" t="s">
        <v>75</v>
      </c>
      <c r="B50" s="19" t="s">
        <v>74</v>
      </c>
      <c r="C50" s="25">
        <v>3.5</v>
      </c>
      <c r="D50" s="26">
        <v>3192.42</v>
      </c>
      <c r="E50" s="19" t="s">
        <v>363</v>
      </c>
      <c r="F50" s="19" t="s"/>
      <c r="G50" s="25" t="s"/>
      <c r="H50" s="26" t="s"/>
      <c r="I50" s="19" t="s"/>
      <c r="J50" s="19" t="s"/>
      <c r="K50" s="19" t="s"/>
      <c r="L50" s="27" t="s"/>
      <c r="M50" s="27" t="s"/>
      <c r="N50" s="27" t="s"/>
    </row>
    <row r="51" spans="1:14">
      <c r="A51" s="19" t="s">
        <v>53</v>
      </c>
      <c r="B51" s="19" t="s">
        <v>52</v>
      </c>
      <c r="C51" s="25">
        <v>2.5</v>
      </c>
      <c r="D51" s="26">
        <v>1789.78</v>
      </c>
      <c r="E51" s="19" t="s">
        <v>188</v>
      </c>
      <c r="F51" s="19" t="s"/>
      <c r="G51" s="25" t="s"/>
      <c r="H51" s="26" t="s"/>
      <c r="I51" s="19" t="s"/>
      <c r="J51" s="19" t="s"/>
      <c r="K51" s="19" t="s"/>
      <c r="L51" s="27" t="s"/>
      <c r="M51" s="27" t="s"/>
      <c r="N51" s="27" t="s"/>
    </row>
    <row r="52" spans="1:14">
      <c r="A52" s="19" t="s">
        <v>69</v>
      </c>
      <c r="B52" s="19" t="s">
        <v>68</v>
      </c>
      <c r="C52" s="25">
        <v>1.5</v>
      </c>
      <c r="D52" s="26">
        <v>1368.18</v>
      </c>
      <c r="E52" s="19" t="s">
        <v>202</v>
      </c>
      <c r="F52" s="19" t="s"/>
      <c r="G52" s="25" t="s"/>
      <c r="H52" s="26" t="s"/>
      <c r="I52" s="19" t="s"/>
      <c r="J52" s="19" t="s"/>
      <c r="K52" s="19" t="s"/>
      <c r="L52" s="27" t="s"/>
      <c r="M52" s="27" t="s"/>
      <c r="N52" s="27" t="s"/>
    </row>
    <row r="53" spans="1:14">
      <c r="A53" s="19" t="s">
        <v>67</v>
      </c>
      <c r="B53" s="19" t="s">
        <v>66</v>
      </c>
      <c r="C53" s="25">
        <v>1.5</v>
      </c>
      <c r="D53" s="26">
        <v>1368.18</v>
      </c>
      <c r="E53" s="19" t="s">
        <v>202</v>
      </c>
      <c r="F53" s="19" t="s"/>
      <c r="G53" s="25" t="s"/>
      <c r="H53" s="26" t="s"/>
      <c r="I53" s="19" t="s"/>
      <c r="J53" s="19" t="s"/>
      <c r="K53" s="19" t="s"/>
      <c r="L53" s="27" t="s"/>
      <c r="M53" s="27" t="s"/>
      <c r="N53" s="27" t="s"/>
    </row>
    <row r="54" spans="1:14">
      <c r="A54" s="19" t="s">
        <v>55</v>
      </c>
      <c r="B54" s="19" t="s">
        <v>54</v>
      </c>
      <c r="C54" s="25">
        <v>2</v>
      </c>
      <c r="D54" s="26">
        <v>1679.16</v>
      </c>
      <c r="E54" s="19" t="s">
        <v>512</v>
      </c>
      <c r="F54" s="19" t="s"/>
      <c r="G54" s="25" t="s"/>
      <c r="H54" s="26" t="s"/>
      <c r="I54" s="19" t="s"/>
      <c r="J54" s="19" t="s"/>
      <c r="K54" s="19" t="s"/>
      <c r="L54" s="27" t="s"/>
      <c r="M54" s="27" t="s"/>
      <c r="N54" s="27" t="s"/>
    </row>
    <row r="55" spans="1:14">
      <c r="A55" s="19" t="s">
        <v>61</v>
      </c>
      <c r="B55" s="19" t="s">
        <v>60</v>
      </c>
      <c r="C55" s="25">
        <v>2</v>
      </c>
      <c r="D55" s="26">
        <v>1679.16</v>
      </c>
      <c r="E55" s="19" t="s">
        <v>512</v>
      </c>
      <c r="F55" s="19" t="s"/>
      <c r="G55" s="25" t="s"/>
      <c r="H55" s="26" t="s"/>
      <c r="I55" s="19" t="s"/>
      <c r="J55" s="19" t="s"/>
      <c r="K55" s="19" t="s"/>
      <c r="L55" s="27" t="s"/>
      <c r="M55" s="27" t="s"/>
      <c r="N55" s="27" t="s"/>
    </row>
    <row r="56" spans="1:14">
      <c r="A56" s="19" t="s">
        <v>65</v>
      </c>
      <c r="B56" s="19" t="s">
        <v>64</v>
      </c>
      <c r="C56" s="25">
        <v>1</v>
      </c>
      <c r="D56" s="26">
        <v>1963.54</v>
      </c>
      <c r="E56" s="19" t="s">
        <v>158</v>
      </c>
      <c r="F56" s="19" t="s"/>
      <c r="G56" s="25" t="s"/>
      <c r="H56" s="26" t="s"/>
      <c r="I56" s="19" t="s"/>
      <c r="J56" s="19" t="s"/>
      <c r="K56" s="19" t="s"/>
      <c r="L56" s="27" t="s"/>
      <c r="M56" s="27" t="s"/>
      <c r="N56" s="27" t="s"/>
    </row>
    <row r="57" spans="1:14">
      <c r="A57" s="19" t="s">
        <v>55</v>
      </c>
      <c r="B57" s="19" t="s">
        <v>54</v>
      </c>
      <c r="C57" s="25">
        <v>1.3</v>
      </c>
      <c r="D57" s="26">
        <v>2070.52</v>
      </c>
      <c r="E57" s="19" t="s">
        <v>161</v>
      </c>
      <c r="F57" s="19" t="s"/>
      <c r="G57" s="25" t="s"/>
      <c r="H57" s="26" t="s"/>
      <c r="I57" s="19" t="s"/>
      <c r="J57" s="19" t="s"/>
      <c r="K57" s="19" t="s"/>
      <c r="L57" s="27" t="s"/>
      <c r="M57" s="27" t="s"/>
      <c r="N57" s="27" t="s"/>
    </row>
    <row r="58" spans="1:14">
      <c r="A58" s="19" t="s">
        <v>75</v>
      </c>
      <c r="B58" s="19" t="s">
        <v>74</v>
      </c>
      <c r="C58" s="25">
        <v>3</v>
      </c>
      <c r="D58" s="26">
        <v>3762.51</v>
      </c>
      <c r="E58" s="19" t="s">
        <v>363</v>
      </c>
      <c r="F58" s="19" t="s"/>
      <c r="G58" s="25" t="s"/>
      <c r="H58" s="26" t="s"/>
      <c r="I58" s="19" t="s"/>
      <c r="J58" s="19" t="s"/>
      <c r="K58" s="19" t="s"/>
      <c r="L58" s="27" t="s"/>
      <c r="M58" s="27" t="s"/>
      <c r="N58" s="27" t="s"/>
    </row>
    <row r="59" spans="1:14">
      <c r="A59" s="19" t="s">
        <v>53</v>
      </c>
      <c r="B59" s="19" t="s">
        <v>52</v>
      </c>
      <c r="C59" s="25">
        <v>2</v>
      </c>
      <c r="D59" s="26">
        <v>1968.76</v>
      </c>
      <c r="E59" s="19" t="s">
        <v>188</v>
      </c>
      <c r="F59" s="19" t="s"/>
      <c r="G59" s="25" t="s"/>
      <c r="H59" s="26" t="s"/>
      <c r="I59" s="19" t="s"/>
      <c r="J59" s="19" t="s"/>
      <c r="K59" s="19" t="s"/>
      <c r="L59" s="27" t="s"/>
      <c r="M59" s="27" t="s"/>
      <c r="N59" s="27" t="s"/>
    </row>
    <row r="60" spans="1:14">
      <c r="A60" s="19" t="s">
        <v>47</v>
      </c>
      <c r="B60" s="19" t="s">
        <v>46</v>
      </c>
      <c r="C60" s="25">
        <v>3</v>
      </c>
      <c r="D60" s="26">
        <v>2518.74</v>
      </c>
      <c r="E60" s="19" t="s">
        <v>512</v>
      </c>
      <c r="F60" s="19" t="s"/>
      <c r="G60" s="25" t="s"/>
      <c r="H60" s="26" t="s"/>
      <c r="I60" s="19" t="s"/>
      <c r="J60" s="19" t="s"/>
      <c r="K60" s="19" t="s"/>
      <c r="L60" s="27" t="s"/>
      <c r="M60" s="27" t="s"/>
      <c r="N60" s="27" t="s"/>
    </row>
    <row r="61" spans="1:14">
      <c r="A61" s="19" t="s">
        <v>55</v>
      </c>
      <c r="B61" s="19" t="s">
        <v>54</v>
      </c>
      <c r="C61" s="25">
        <v>1</v>
      </c>
      <c r="D61" s="26">
        <v>1592.71</v>
      </c>
      <c r="E61" s="19" t="s">
        <v>161</v>
      </c>
      <c r="F61" s="19" t="s"/>
      <c r="G61" s="25" t="s"/>
      <c r="H61" s="26" t="s"/>
      <c r="I61" s="19" t="s"/>
      <c r="J61" s="19" t="s"/>
      <c r="K61" s="19" t="s"/>
      <c r="L61" s="27" t="s"/>
      <c r="M61" s="27" t="s"/>
      <c r="N61" s="27" t="s"/>
    </row>
    <row r="62" spans="1:14">
      <c r="A62" s="19" t="s">
        <v>55</v>
      </c>
      <c r="B62" s="19" t="s">
        <v>54</v>
      </c>
      <c r="C62" s="25">
        <v>1.5</v>
      </c>
      <c r="D62" s="26">
        <v>1881.26</v>
      </c>
      <c r="E62" s="19" t="s">
        <v>205</v>
      </c>
      <c r="F62" s="19" t="s"/>
      <c r="G62" s="25" t="s"/>
      <c r="H62" s="26" t="s"/>
      <c r="I62" s="19" t="s"/>
      <c r="J62" s="19" t="s"/>
      <c r="K62" s="19" t="s"/>
      <c r="L62" s="27" t="s"/>
      <c r="M62" s="27" t="s"/>
      <c r="N62" s="27" t="s"/>
    </row>
    <row r="63" spans="1:14">
      <c r="A63" s="19" t="s">
        <v>49</v>
      </c>
      <c r="B63" s="19" t="s">
        <v>48</v>
      </c>
      <c r="C63" s="25">
        <v>1</v>
      </c>
      <c r="D63" s="26">
        <v>1185.94</v>
      </c>
      <c r="E63" s="19" t="s">
        <v>184</v>
      </c>
      <c r="F63" s="19" t="s"/>
      <c r="G63" s="25" t="s"/>
      <c r="H63" s="26" t="s"/>
      <c r="I63" s="19" t="s"/>
      <c r="J63" s="19" t="s"/>
      <c r="K63" s="19" t="s"/>
      <c r="L63" s="27" t="s"/>
      <c r="M63" s="27" t="s"/>
      <c r="N63" s="27" t="s"/>
    </row>
    <row r="64" spans="1:14">
      <c r="A64" s="19" t="s">
        <v>75</v>
      </c>
      <c r="B64" s="19" t="s">
        <v>74</v>
      </c>
      <c r="C64" s="25">
        <v>1</v>
      </c>
      <c r="D64" s="26">
        <v>1254.17</v>
      </c>
      <c r="E64" s="19" t="s">
        <v>363</v>
      </c>
      <c r="F64" s="19" t="s"/>
      <c r="G64" s="25" t="s"/>
      <c r="H64" s="26" t="s"/>
      <c r="I64" s="19" t="s"/>
      <c r="J64" s="19" t="s"/>
      <c r="K64" s="19" t="s"/>
      <c r="L64" s="27" t="s"/>
      <c r="M64" s="27" t="s"/>
      <c r="N64" s="27" t="s"/>
    </row>
    <row r="65" spans="1:14">
      <c r="A65" s="19" t="s">
        <v>75</v>
      </c>
      <c r="B65" s="19" t="s">
        <v>74</v>
      </c>
      <c r="C65" s="25">
        <v>1</v>
      </c>
      <c r="D65" s="26">
        <v>1254.17</v>
      </c>
      <c r="E65" s="19" t="s">
        <v>363</v>
      </c>
      <c r="F65" s="19" t="s"/>
      <c r="G65" s="25" t="s"/>
      <c r="H65" s="26" t="s"/>
      <c r="I65" s="19" t="s"/>
      <c r="J65" s="19" t="s"/>
      <c r="K65" s="19" t="s"/>
      <c r="L65" s="27" t="s"/>
      <c r="M65" s="27" t="s"/>
      <c r="N65" s="27" t="s"/>
    </row>
    <row r="66" spans="1:14">
      <c r="A66" s="19" t="s">
        <v>51</v>
      </c>
      <c r="B66" s="19" t="s">
        <v>50</v>
      </c>
      <c r="C66" s="25">
        <v>3</v>
      </c>
      <c r="D66" s="26">
        <v>2953.14</v>
      </c>
      <c r="E66" s="19" t="s">
        <v>188</v>
      </c>
      <c r="F66" s="19" t="s"/>
      <c r="G66" s="25" t="s"/>
      <c r="H66" s="26" t="s"/>
      <c r="I66" s="19" t="s"/>
      <c r="J66" s="19" t="s"/>
      <c r="K66" s="19" t="s"/>
      <c r="L66" s="27" t="s"/>
      <c r="M66" s="27" t="s"/>
      <c r="N66" s="27" t="s"/>
    </row>
    <row r="67" spans="1:14">
      <c r="A67" s="19" t="s">
        <v>55</v>
      </c>
      <c r="B67" s="19" t="s">
        <v>54</v>
      </c>
      <c r="C67" s="25">
        <v>0.9</v>
      </c>
      <c r="D67" s="26">
        <v>755.62</v>
      </c>
      <c r="E67" s="19" t="s">
        <v>575</v>
      </c>
      <c r="F67" s="19" t="s"/>
      <c r="G67" s="25" t="s"/>
      <c r="H67" s="26" t="s"/>
      <c r="I67" s="19" t="s"/>
      <c r="J67" s="19" t="s"/>
      <c r="K67" s="19" t="s"/>
      <c r="L67" s="27" t="s"/>
      <c r="M67" s="27" t="s"/>
      <c r="N67" s="27" t="s"/>
    </row>
    <row r="68" spans="1:14">
      <c r="A68" s="19" t="s">
        <v>55</v>
      </c>
      <c r="B68" s="19" t="s">
        <v>54</v>
      </c>
      <c r="C68" s="25">
        <v>2</v>
      </c>
      <c r="D68" s="26">
        <v>2371.88</v>
      </c>
      <c r="E68" s="19" t="s">
        <v>154</v>
      </c>
      <c r="F68" s="19" t="s"/>
      <c r="G68" s="25" t="s"/>
      <c r="H68" s="26" t="s"/>
      <c r="I68" s="19" t="s"/>
      <c r="J68" s="19" t="s"/>
      <c r="K68" s="19" t="s"/>
      <c r="L68" s="27" t="s"/>
      <c r="M68" s="27" t="s"/>
      <c r="N68" s="27" t="s"/>
    </row>
    <row r="69" spans="1:14">
      <c r="A69" s="19" t="s">
        <v>55</v>
      </c>
      <c r="B69" s="19" t="s">
        <v>54</v>
      </c>
      <c r="C69" s="25">
        <v>3</v>
      </c>
      <c r="D69" s="26">
        <v>3214.83</v>
      </c>
      <c r="E69" s="19" t="s">
        <v>562</v>
      </c>
      <c r="F69" s="19" t="s"/>
      <c r="G69" s="25" t="s"/>
      <c r="H69" s="26" t="s"/>
      <c r="I69" s="19" t="s"/>
      <c r="J69" s="19" t="s"/>
      <c r="K69" s="19" t="s"/>
      <c r="L69" s="27" t="s"/>
      <c r="M69" s="27" t="s"/>
      <c r="N69" s="27" t="s"/>
    </row>
    <row r="70" spans="1:14">
      <c r="A70" s="19" t="s">
        <v>63</v>
      </c>
      <c r="B70" s="19" t="s">
        <v>62</v>
      </c>
      <c r="C70" s="25">
        <v>5</v>
      </c>
      <c r="D70" s="26">
        <v>5929.7</v>
      </c>
      <c r="E70" s="19" t="s">
        <v>517</v>
      </c>
      <c r="F70" s="19" t="s"/>
      <c r="G70" s="25" t="s"/>
      <c r="H70" s="26" t="s"/>
      <c r="I70" s="19" t="s"/>
      <c r="J70" s="19" t="s"/>
      <c r="K70" s="19" t="s"/>
      <c r="L70" s="27" t="s"/>
      <c r="M70" s="27" t="s"/>
      <c r="N70" s="27" t="s"/>
    </row>
    <row r="71" spans="1:14">
      <c r="A71" s="19" t="s">
        <v>47</v>
      </c>
      <c r="B71" s="19" t="s">
        <v>46</v>
      </c>
      <c r="C71" s="25">
        <v>5</v>
      </c>
      <c r="D71" s="26">
        <v>4197.9</v>
      </c>
      <c r="E71" s="19" t="s">
        <v>512</v>
      </c>
      <c r="F71" s="19" t="s"/>
      <c r="G71" s="25" t="s"/>
      <c r="H71" s="26" t="s"/>
      <c r="I71" s="19" t="s"/>
      <c r="J71" s="19" t="s"/>
      <c r="K71" s="19" t="s"/>
      <c r="L71" s="27" t="s"/>
      <c r="M71" s="27" t="s"/>
      <c r="N71" s="27" t="s"/>
    </row>
    <row r="72" spans="1:14">
      <c r="A72" s="19" t="s">
        <v>55</v>
      </c>
      <c r="B72" s="19" t="s">
        <v>54</v>
      </c>
      <c r="C72" s="25">
        <v>3</v>
      </c>
      <c r="D72" s="26">
        <v>4778.13</v>
      </c>
      <c r="E72" s="19" t="s">
        <v>161</v>
      </c>
      <c r="F72" s="19" t="s"/>
      <c r="G72" s="25" t="s"/>
      <c r="H72" s="26" t="s"/>
      <c r="I72" s="19" t="s"/>
      <c r="J72" s="19" t="s"/>
      <c r="K72" s="19" t="s"/>
      <c r="L72" s="27" t="s"/>
      <c r="M72" s="27" t="s"/>
      <c r="N72" s="27" t="s"/>
    </row>
    <row r="73" spans="1:14">
      <c r="A73" s="19" t="s">
        <v>55</v>
      </c>
      <c r="B73" s="19" t="s">
        <v>54</v>
      </c>
      <c r="C73" s="25">
        <v>2.5</v>
      </c>
      <c r="D73" s="26">
        <v>3135.43</v>
      </c>
      <c r="E73" s="19" t="s">
        <v>205</v>
      </c>
      <c r="F73" s="19" t="s"/>
      <c r="G73" s="25" t="s"/>
      <c r="H73" s="26" t="s"/>
      <c r="I73" s="19" t="s"/>
      <c r="J73" s="19" t="s"/>
      <c r="K73" s="19" t="s"/>
      <c r="L73" s="27" t="s"/>
      <c r="M73" s="27" t="s"/>
      <c r="N73" s="27" t="s"/>
    </row>
    <row r="74" spans="1:14">
      <c r="A74" s="19" t="s">
        <v>55</v>
      </c>
      <c r="B74" s="19" t="s">
        <v>54</v>
      </c>
      <c r="C74" s="25">
        <v>2.5</v>
      </c>
      <c r="D74" s="26">
        <v>3135.43</v>
      </c>
      <c r="E74" s="19" t="s">
        <v>205</v>
      </c>
      <c r="F74" s="19" t="s"/>
      <c r="G74" s="25" t="s"/>
      <c r="H74" s="26" t="s"/>
      <c r="I74" s="19" t="s"/>
      <c r="J74" s="19" t="s"/>
      <c r="K74" s="19" t="s"/>
      <c r="L74" s="27" t="s"/>
      <c r="M74" s="27" t="s"/>
      <c r="N74" s="27" t="s"/>
    </row>
    <row r="75" spans="1:14">
      <c r="A75" s="19" t="s">
        <v>49</v>
      </c>
      <c r="B75" s="19" t="s">
        <v>48</v>
      </c>
      <c r="C75" s="25">
        <v>3.5</v>
      </c>
      <c r="D75" s="26">
        <v>4150.79</v>
      </c>
      <c r="E75" s="19" t="s">
        <v>184</v>
      </c>
      <c r="F75" s="19" t="s"/>
      <c r="G75" s="25" t="s"/>
      <c r="H75" s="26" t="s"/>
      <c r="I75" s="19" t="s"/>
      <c r="J75" s="19" t="s"/>
      <c r="K75" s="19" t="s"/>
      <c r="L75" s="27" t="s"/>
      <c r="M75" s="27" t="s"/>
      <c r="N75" s="27" t="s"/>
    </row>
    <row r="76" spans="1:14">
      <c r="A76" s="19" t="s">
        <v>73</v>
      </c>
      <c r="B76" s="19" t="s">
        <v>72</v>
      </c>
      <c r="C76" s="25">
        <v>4</v>
      </c>
      <c r="D76" s="26">
        <v>5016.68</v>
      </c>
      <c r="E76" s="19" t="s">
        <v>363</v>
      </c>
      <c r="F76" s="19" t="s"/>
      <c r="G76" s="25" t="s"/>
      <c r="H76" s="26" t="s"/>
      <c r="I76" s="19" t="s"/>
      <c r="J76" s="19" t="s"/>
      <c r="K76" s="19" t="s"/>
      <c r="L76" s="27" t="s"/>
      <c r="M76" s="27" t="s"/>
      <c r="N76" s="27" t="s"/>
    </row>
    <row r="77" spans="1:14">
      <c r="A77" s="19" t="s">
        <v>51</v>
      </c>
      <c r="B77" s="19" t="s">
        <v>50</v>
      </c>
      <c r="C77" s="25">
        <v>1</v>
      </c>
      <c r="D77" s="26">
        <v>984.38</v>
      </c>
      <c r="E77" s="19" t="s">
        <v>167</v>
      </c>
      <c r="F77" s="19" t="s"/>
      <c r="G77" s="25" t="s"/>
      <c r="H77" s="26" t="s"/>
      <c r="I77" s="19" t="s"/>
      <c r="J77" s="19" t="s"/>
      <c r="K77" s="19" t="s"/>
      <c r="L77" s="27" t="s"/>
      <c r="M77" s="27" t="s"/>
      <c r="N77" s="27" t="s"/>
    </row>
    <row r="78" spans="1:14">
      <c r="A78" s="19" t="s">
        <v>40</v>
      </c>
      <c r="B78" s="19" t="s">
        <v>39</v>
      </c>
      <c r="C78" s="25">
        <v>3</v>
      </c>
      <c r="D78" s="26">
        <v>2953.14</v>
      </c>
      <c r="E78" s="19" t="s">
        <v>188</v>
      </c>
      <c r="F78" s="19" t="s"/>
      <c r="G78" s="25" t="s"/>
      <c r="H78" s="26" t="s"/>
      <c r="I78" s="19" t="s"/>
      <c r="J78" s="19" t="s"/>
      <c r="K78" s="19" t="s"/>
      <c r="L78" s="27" t="s"/>
      <c r="M78" s="27" t="s"/>
      <c r="N78" s="27" t="s"/>
    </row>
    <row r="79" spans="1:14">
      <c r="A79" s="19" t="s">
        <v>43</v>
      </c>
      <c r="B79" s="19" t="s">
        <v>42</v>
      </c>
      <c r="C79" s="25">
        <v>2</v>
      </c>
      <c r="D79" s="26">
        <v>1968.76</v>
      </c>
      <c r="E79" s="19" t="s">
        <v>188</v>
      </c>
      <c r="F79" s="19" t="s"/>
      <c r="G79" s="25" t="s"/>
      <c r="H79" s="26" t="s"/>
      <c r="I79" s="19" t="s"/>
      <c r="J79" s="19" t="s"/>
      <c r="K79" s="19" t="s"/>
      <c r="L79" s="27" t="s"/>
      <c r="M79" s="27" t="s"/>
      <c r="N79" s="27" t="s"/>
    </row>
    <row r="80" spans="1:14">
      <c r="A80" s="19" t="s">
        <v>55</v>
      </c>
      <c r="B80" s="19" t="s">
        <v>54</v>
      </c>
      <c r="C80" s="25">
        <v>1.5</v>
      </c>
      <c r="D80" s="26">
        <v>959.52</v>
      </c>
      <c r="E80" s="19" t="s">
        <v>575</v>
      </c>
      <c r="F80" s="19" t="s"/>
      <c r="G80" s="25" t="s"/>
      <c r="H80" s="26" t="s"/>
      <c r="I80" s="19" t="s"/>
      <c r="J80" s="19" t="s"/>
      <c r="K80" s="19" t="s"/>
      <c r="L80" s="27" t="s"/>
      <c r="M80" s="27" t="s"/>
      <c r="N80" s="27" t="s"/>
    </row>
    <row r="81" spans="1:14">
      <c r="A81" s="19" t="s">
        <v>55</v>
      </c>
      <c r="B81" s="19" t="s">
        <v>54</v>
      </c>
      <c r="C81" s="25">
        <v>3.5</v>
      </c>
      <c r="D81" s="26">
        <v>3162.5</v>
      </c>
      <c r="E81" s="19" t="s">
        <v>154</v>
      </c>
      <c r="F81" s="19" t="s"/>
      <c r="G81" s="25" t="s"/>
      <c r="H81" s="26" t="s"/>
      <c r="I81" s="19" t="s"/>
      <c r="J81" s="19" t="s"/>
      <c r="K81" s="19" t="s"/>
      <c r="L81" s="27" t="s"/>
      <c r="M81" s="27" t="s"/>
      <c r="N81" s="27" t="s"/>
    </row>
    <row r="82" spans="1:14">
      <c r="A82" s="19" t="s">
        <v>55</v>
      </c>
      <c r="B82" s="19" t="s">
        <v>54</v>
      </c>
      <c r="C82" s="25">
        <v>1.5</v>
      </c>
      <c r="D82" s="26">
        <v>1589.28</v>
      </c>
      <c r="E82" s="19" t="s">
        <v>578</v>
      </c>
      <c r="F82" s="19" t="s"/>
      <c r="G82" s="25" t="s"/>
      <c r="H82" s="26" t="s"/>
      <c r="I82" s="19" t="s"/>
      <c r="J82" s="19" t="s"/>
      <c r="K82" s="19" t="s"/>
      <c r="L82" s="27" t="s"/>
      <c r="M82" s="27" t="s"/>
      <c r="N82" s="27" t="s"/>
    </row>
    <row r="83" spans="1:14">
      <c r="A83" s="19" t="s">
        <v>55</v>
      </c>
      <c r="B83" s="19" t="s">
        <v>54</v>
      </c>
      <c r="C83" s="25">
        <v>4.5</v>
      </c>
      <c r="D83" s="26">
        <v>3674.12</v>
      </c>
      <c r="E83" s="19" t="s">
        <v>562</v>
      </c>
      <c r="F83" s="19" t="s"/>
      <c r="G83" s="25" t="s"/>
      <c r="H83" s="26" t="s"/>
      <c r="I83" s="19" t="s"/>
      <c r="J83" s="19" t="s"/>
      <c r="K83" s="19" t="s"/>
      <c r="L83" s="27" t="s"/>
      <c r="M83" s="27" t="s"/>
      <c r="N83" s="27" t="s"/>
    </row>
    <row r="84" spans="1:14">
      <c r="A84" s="19" t="s">
        <v>40</v>
      </c>
      <c r="B84" s="19" t="s">
        <v>39</v>
      </c>
      <c r="C84" s="25">
        <v>5</v>
      </c>
      <c r="D84" s="26">
        <v>4517.85</v>
      </c>
      <c r="E84" s="19" t="s">
        <v>517</v>
      </c>
      <c r="F84" s="19" t="s"/>
      <c r="G84" s="25" t="s"/>
      <c r="H84" s="26" t="s"/>
      <c r="I84" s="19" t="s"/>
      <c r="J84" s="19" t="s"/>
      <c r="K84" s="19" t="s"/>
      <c r="L84" s="27" t="s"/>
      <c r="M84" s="27" t="s"/>
      <c r="N84" s="27" t="s"/>
    </row>
    <row r="85" spans="1:14">
      <c r="A85" s="19" t="s">
        <v>47</v>
      </c>
      <c r="B85" s="19" t="s">
        <v>46</v>
      </c>
      <c r="C85" s="25">
        <v>5</v>
      </c>
      <c r="D85" s="26">
        <v>3198.4</v>
      </c>
      <c r="E85" s="19" t="s">
        <v>512</v>
      </c>
      <c r="F85" s="19" t="s"/>
      <c r="G85" s="25" t="s"/>
      <c r="H85" s="26" t="s"/>
      <c r="I85" s="19" t="s"/>
      <c r="J85" s="19" t="s"/>
      <c r="K85" s="19" t="s"/>
      <c r="L85" s="27" t="s"/>
      <c r="M85" s="27" t="s"/>
      <c r="N85" s="27" t="s"/>
    </row>
    <row r="86" spans="1:14">
      <c r="A86" s="19" t="s">
        <v>47</v>
      </c>
      <c r="B86" s="19" t="s">
        <v>46</v>
      </c>
      <c r="C86" s="25">
        <v>1</v>
      </c>
      <c r="D86" s="26">
        <v>955.56</v>
      </c>
      <c r="E86" s="19" t="s">
        <v>205</v>
      </c>
      <c r="F86" s="19" t="s"/>
      <c r="G86" s="25" t="s"/>
      <c r="H86" s="26" t="s"/>
      <c r="I86" s="19" t="s"/>
      <c r="J86" s="19" t="s"/>
      <c r="K86" s="19" t="s"/>
      <c r="L86" s="27" t="s"/>
      <c r="M86" s="27" t="s"/>
      <c r="N86" s="27" t="s"/>
    </row>
    <row r="87" spans="1:14">
      <c r="A87" s="19" t="s">
        <v>55</v>
      </c>
      <c r="B87" s="19" t="s">
        <v>54</v>
      </c>
      <c r="C87" s="25">
        <v>2</v>
      </c>
      <c r="D87" s="26">
        <v>1911.12</v>
      </c>
      <c r="E87" s="19" t="s">
        <v>205</v>
      </c>
      <c r="F87" s="19" t="s"/>
      <c r="G87" s="25" t="s"/>
      <c r="H87" s="26" t="s"/>
      <c r="I87" s="19" t="s"/>
      <c r="J87" s="19" t="s"/>
      <c r="K87" s="19" t="s"/>
      <c r="L87" s="27" t="s"/>
      <c r="M87" s="27" t="s"/>
      <c r="N87" s="27" t="s"/>
    </row>
    <row r="88" spans="1:14">
      <c r="A88" s="19" t="s">
        <v>49</v>
      </c>
      <c r="B88" s="19" t="s">
        <v>48</v>
      </c>
      <c r="C88" s="25">
        <v>5</v>
      </c>
      <c r="D88" s="26">
        <v>4517.85</v>
      </c>
      <c r="E88" s="19" t="s">
        <v>184</v>
      </c>
      <c r="F88" s="19" t="s"/>
      <c r="G88" s="25" t="s"/>
      <c r="H88" s="26" t="s"/>
      <c r="I88" s="19" t="s"/>
      <c r="J88" s="19" t="s"/>
      <c r="K88" s="19" t="s"/>
      <c r="L88" s="27" t="s"/>
      <c r="M88" s="27" t="s"/>
      <c r="N88" s="27" t="s"/>
    </row>
    <row r="89" spans="1:14">
      <c r="A89" s="19" t="s">
        <v>43</v>
      </c>
      <c r="B89" s="19" t="s">
        <v>42</v>
      </c>
      <c r="C89" s="25">
        <v>2</v>
      </c>
      <c r="D89" s="26">
        <v>1500</v>
      </c>
      <c r="E89" s="19" t="s">
        <v>188</v>
      </c>
      <c r="F89" s="19" t="s"/>
      <c r="G89" s="25" t="s"/>
      <c r="H89" s="26" t="s"/>
      <c r="I89" s="19" t="s"/>
      <c r="J89" s="19" t="s"/>
      <c r="K89" s="19" t="s"/>
      <c r="L89" s="27" t="s"/>
      <c r="M89" s="27" t="s"/>
      <c r="N89" s="27" t="s"/>
    </row>
    <row r="90" spans="1:14">
      <c r="A90" s="19" t="s">
        <v>40</v>
      </c>
      <c r="B90" s="19" t="s">
        <v>39</v>
      </c>
      <c r="C90" s="25">
        <v>1</v>
      </c>
      <c r="D90" s="26">
        <v>750</v>
      </c>
      <c r="E90" s="19" t="s">
        <v>188</v>
      </c>
      <c r="F90" s="19" t="s"/>
      <c r="G90" s="25" t="s"/>
      <c r="H90" s="26" t="s"/>
      <c r="I90" s="19" t="s"/>
      <c r="J90" s="19" t="s"/>
      <c r="K90" s="19" t="s"/>
      <c r="L90" s="27" t="s"/>
      <c r="M90" s="27" t="s"/>
      <c r="N90" s="27" t="s"/>
    </row>
    <row r="91" spans="1:14">
      <c r="A91" s="19" t="s">
        <v>40</v>
      </c>
      <c r="B91" s="19" t="s">
        <v>39</v>
      </c>
      <c r="C91" s="25">
        <v>2</v>
      </c>
      <c r="D91" s="26">
        <v>1911.12</v>
      </c>
      <c r="E91" s="19" t="s">
        <v>587</v>
      </c>
      <c r="F91" s="19" t="s"/>
      <c r="G91" s="25" t="s"/>
      <c r="H91" s="26" t="s"/>
      <c r="I91" s="19" t="s"/>
      <c r="J91" s="19" t="s"/>
      <c r="K91" s="19" t="s"/>
      <c r="L91" s="27" t="s"/>
      <c r="M91" s="27" t="s"/>
      <c r="N91" s="27" t="s"/>
    </row>
    <row r="92" spans="1:14">
      <c r="A92" s="19" t="s">
        <v>55</v>
      </c>
      <c r="B92" s="19" t="s">
        <v>54</v>
      </c>
      <c r="C92" s="25">
        <v>1.5</v>
      </c>
      <c r="D92" s="26">
        <v>959.52</v>
      </c>
      <c r="E92" s="19" t="s">
        <v>589</v>
      </c>
      <c r="F92" s="19" t="s"/>
      <c r="G92" s="25" t="s"/>
      <c r="H92" s="26" t="s"/>
      <c r="I92" s="19" t="s"/>
      <c r="J92" s="19" t="s"/>
      <c r="K92" s="19" t="s"/>
      <c r="L92" s="27" t="s"/>
      <c r="M92" s="27" t="s"/>
      <c r="N92" s="27" t="s"/>
    </row>
    <row r="93" spans="1:14">
      <c r="A93" s="19" t="s">
        <v>55</v>
      </c>
      <c r="B93" s="19" t="s">
        <v>54</v>
      </c>
      <c r="C93" s="25">
        <v>4</v>
      </c>
      <c r="D93" s="26">
        <v>3614.28</v>
      </c>
      <c r="E93" s="19" t="s">
        <v>154</v>
      </c>
      <c r="F93" s="19" t="s"/>
      <c r="G93" s="25" t="s"/>
      <c r="H93" s="26" t="s"/>
      <c r="I93" s="19" t="s"/>
      <c r="J93" s="19" t="s"/>
      <c r="K93" s="19" t="s"/>
      <c r="L93" s="27" t="s"/>
      <c r="M93" s="27" t="s"/>
      <c r="N93" s="27" t="s"/>
    </row>
    <row r="94" spans="1:14">
      <c r="A94" s="19" t="s">
        <v>55</v>
      </c>
      <c r="B94" s="19" t="s">
        <v>54</v>
      </c>
      <c r="C94" s="25">
        <v>1</v>
      </c>
      <c r="D94" s="26">
        <v>903.57</v>
      </c>
      <c r="E94" s="19" t="s">
        <v>592</v>
      </c>
      <c r="F94" s="19" t="s"/>
      <c r="G94" s="25" t="s"/>
      <c r="H94" s="26" t="s"/>
      <c r="I94" s="19" t="s"/>
      <c r="J94" s="19" t="s"/>
      <c r="K94" s="19" t="s"/>
      <c r="L94" s="27" t="s"/>
      <c r="M94" s="27" t="s"/>
      <c r="N94" s="27" t="s"/>
    </row>
    <row r="95" spans="1:14">
      <c r="A95" s="19" t="s">
        <v>55</v>
      </c>
      <c r="B95" s="19" t="s">
        <v>54</v>
      </c>
      <c r="C95" s="25">
        <v>1.5</v>
      </c>
      <c r="D95" s="26">
        <v>1224.71</v>
      </c>
      <c r="E95" s="19" t="s">
        <v>562</v>
      </c>
      <c r="F95" s="19" t="s"/>
      <c r="G95" s="25" t="s"/>
      <c r="H95" s="26" t="s"/>
      <c r="I95" s="19" t="s"/>
      <c r="J95" s="19" t="s"/>
      <c r="K95" s="19" t="s"/>
      <c r="L95" s="27" t="s"/>
      <c r="M95" s="27" t="s"/>
      <c r="N95" s="27" t="s"/>
    </row>
    <row r="96" spans="1:14">
      <c r="A96" s="19" t="s">
        <v>49</v>
      </c>
      <c r="B96" s="19" t="s">
        <v>48</v>
      </c>
      <c r="C96" s="25">
        <v>5</v>
      </c>
      <c r="D96" s="26">
        <v>4517.85</v>
      </c>
      <c r="E96" s="19" t="s">
        <v>517</v>
      </c>
      <c r="F96" s="19" t="s"/>
      <c r="G96" s="25" t="s"/>
      <c r="H96" s="26" t="s"/>
      <c r="I96" s="19" t="s"/>
      <c r="J96" s="19" t="s"/>
      <c r="K96" s="19" t="s"/>
      <c r="L96" s="27" t="s"/>
      <c r="M96" s="27" t="s"/>
      <c r="N96" s="27" t="s"/>
    </row>
    <row r="97" spans="1:14">
      <c r="A97" s="19" t="s">
        <v>47</v>
      </c>
      <c r="B97" s="19" t="s">
        <v>46</v>
      </c>
      <c r="C97" s="25">
        <v>5</v>
      </c>
      <c r="D97" s="26">
        <v>3198.4</v>
      </c>
      <c r="E97" s="19" t="s">
        <v>512</v>
      </c>
      <c r="F97" s="19" t="s"/>
      <c r="G97" s="25" t="s"/>
      <c r="H97" s="26" t="s"/>
      <c r="I97" s="19" t="s"/>
      <c r="J97" s="19" t="s"/>
      <c r="K97" s="19" t="s"/>
      <c r="L97" s="27" t="s"/>
      <c r="M97" s="27" t="s"/>
      <c r="N97" s="27" t="s"/>
    </row>
    <row r="98" spans="1:14">
      <c r="A98" s="19" t="s">
        <v>47</v>
      </c>
      <c r="B98" s="19" t="s">
        <v>46</v>
      </c>
      <c r="C98" s="25">
        <v>4.5</v>
      </c>
      <c r="D98" s="26">
        <v>4300.02</v>
      </c>
      <c r="E98" s="19" t="s">
        <v>205</v>
      </c>
      <c r="F98" s="19" t="s"/>
      <c r="G98" s="25" t="s"/>
      <c r="H98" s="26" t="s"/>
      <c r="I98" s="19" t="s"/>
      <c r="J98" s="19" t="s"/>
      <c r="K98" s="19" t="s"/>
      <c r="L98" s="27" t="s"/>
      <c r="M98" s="27" t="s"/>
      <c r="N98" s="27" t="s"/>
    </row>
    <row r="99" spans="1:14">
      <c r="A99" s="19" t="s">
        <v>49</v>
      </c>
      <c r="B99" s="19" t="s">
        <v>48</v>
      </c>
      <c r="C99" s="25">
        <v>3</v>
      </c>
      <c r="D99" s="26">
        <v>2710.71</v>
      </c>
      <c r="E99" s="19" t="s">
        <v>184</v>
      </c>
      <c r="F99" s="19" t="s"/>
      <c r="G99" s="25" t="s"/>
      <c r="H99" s="26" t="s"/>
      <c r="I99" s="19" t="s"/>
      <c r="J99" s="19" t="s"/>
      <c r="K99" s="19" t="s"/>
      <c r="L99" s="27" t="s"/>
      <c r="M99" s="27" t="s"/>
      <c r="N99" s="27" t="s"/>
    </row>
    <row r="100" spans="1:14">
      <c r="A100" s="19" t="s">
        <v>40</v>
      </c>
      <c r="B100" s="19" t="s">
        <v>39</v>
      </c>
      <c r="C100" s="25">
        <v>2</v>
      </c>
      <c r="D100" s="26">
        <v>1911.12</v>
      </c>
      <c r="E100" s="19" t="s">
        <v>363</v>
      </c>
      <c r="F100" s="19" t="s"/>
      <c r="G100" s="25" t="s"/>
      <c r="H100" s="26" t="s"/>
      <c r="I100" s="19" t="s"/>
      <c r="J100" s="19" t="s"/>
      <c r="K100" s="19" t="s"/>
      <c r="L100" s="27" t="s"/>
      <c r="M100" s="27" t="s"/>
      <c r="N100" s="27" t="s"/>
    </row>
    <row r="101" spans="1:14">
      <c r="A101" s="19" t="s">
        <v>73</v>
      </c>
      <c r="B101" s="19" t="s">
        <v>72</v>
      </c>
      <c r="C101" s="25">
        <v>2</v>
      </c>
      <c r="D101" s="26">
        <v>1911.12</v>
      </c>
      <c r="E101" s="19" t="s">
        <v>363</v>
      </c>
      <c r="F101" s="19" t="s"/>
      <c r="G101" s="25" t="s"/>
      <c r="H101" s="26" t="s"/>
      <c r="I101" s="19" t="s"/>
      <c r="J101" s="19" t="s"/>
      <c r="K101" s="19" t="s"/>
      <c r="L101" s="27" t="s"/>
      <c r="M101" s="27" t="s"/>
      <c r="N101" s="27" t="s"/>
    </row>
    <row r="102" spans="1:14">
      <c r="A102" s="19" t="s">
        <v>36</v>
      </c>
      <c r="B102" s="19" t="s">
        <v>35</v>
      </c>
      <c r="C102" s="25">
        <v>1</v>
      </c>
      <c r="D102" s="26">
        <v>750</v>
      </c>
      <c r="E102" s="19" t="s">
        <v>167</v>
      </c>
      <c r="F102" s="19" t="s"/>
      <c r="G102" s="25" t="s"/>
      <c r="H102" s="26" t="s"/>
      <c r="I102" s="19" t="s"/>
      <c r="J102" s="19" t="s"/>
      <c r="K102" s="19" t="s"/>
      <c r="L102" s="27" t="s"/>
      <c r="M102" s="27" t="s"/>
      <c r="N102" s="27" t="s"/>
    </row>
    <row r="103" spans="1:6">
      <c r="A103" s="19" t="s">
        <v>43</v>
      </c>
      <c r="B103" s="19" t="s">
        <v>42</v>
      </c>
      <c r="C103" s="25">
        <v>2</v>
      </c>
      <c r="D103" s="26">
        <v>1500</v>
      </c>
      <c r="E103" s="19" t="s">
        <v>188</v>
      </c>
      <c r="F103" s="19" t="s"/>
    </row>
    <row r="104" spans="1:6">
      <c r="A104" s="19" t="s">
        <v>40</v>
      </c>
      <c r="B104" s="19" t="s">
        <v>39</v>
      </c>
      <c r="C104" s="25">
        <v>4</v>
      </c>
      <c r="D104" s="26">
        <v>4853.96</v>
      </c>
      <c r="E104" s="19" t="s">
        <v>557</v>
      </c>
      <c r="F104" s="19" t="s"/>
    </row>
    <row r="105" spans="1:6">
      <c r="A105" s="19" t="s">
        <v>40</v>
      </c>
      <c r="B105" s="19" t="s">
        <v>39</v>
      </c>
      <c r="C105" s="25">
        <v>2</v>
      </c>
      <c r="D105" s="26">
        <v>1911.12</v>
      </c>
      <c r="E105" s="19" t="s">
        <v>587</v>
      </c>
      <c r="F105" s="19" t="s"/>
    </row>
    <row r="106" spans="1:6">
      <c r="A106" s="19" t="s">
        <v>55</v>
      </c>
      <c r="B106" s="19" t="s">
        <v>54</v>
      </c>
      <c r="C106" s="25">
        <v>1</v>
      </c>
      <c r="D106" s="26">
        <v>903.57</v>
      </c>
      <c r="E106" s="19" t="s">
        <v>154</v>
      </c>
      <c r="F106" s="19" t="s"/>
    </row>
    <row r="107" spans="1:6">
      <c r="A107" s="19" t="s">
        <v>860</v>
      </c>
      <c r="B107" s="19" t="s">
        <v>861</v>
      </c>
      <c r="C107" s="25">
        <v>2</v>
      </c>
      <c r="D107" s="26">
        <v>1807.14</v>
      </c>
      <c r="E107" s="19" t="s">
        <v>517</v>
      </c>
      <c r="F107" s="19" t="s"/>
    </row>
    <row r="108" spans="1:6">
      <c r="A108" s="19" t="s">
        <v>47</v>
      </c>
      <c r="B108" s="19" t="s">
        <v>46</v>
      </c>
      <c r="C108" s="25">
        <v>5</v>
      </c>
      <c r="D108" s="26">
        <v>3198.4</v>
      </c>
      <c r="E108" s="19" t="s">
        <v>512</v>
      </c>
      <c r="F108" s="19" t="s"/>
    </row>
    <row r="109" spans="1:6">
      <c r="A109" s="19" t="s">
        <v>47</v>
      </c>
      <c r="B109" s="19" t="s">
        <v>46</v>
      </c>
      <c r="C109" s="25">
        <v>2.5</v>
      </c>
      <c r="D109" s="26">
        <v>2388.9</v>
      </c>
      <c r="E109" s="19" t="s">
        <v>205</v>
      </c>
      <c r="F109" s="19" t="s"/>
    </row>
    <row r="110" spans="1:6">
      <c r="A110" s="19" t="s">
        <v>45</v>
      </c>
      <c r="B110" s="19" t="s">
        <v>44</v>
      </c>
      <c r="C110" s="25">
        <v>1.5</v>
      </c>
      <c r="D110" s="26">
        <v>1355.36</v>
      </c>
      <c r="E110" s="19" t="s">
        <v>184</v>
      </c>
      <c r="F110" s="19" t="s"/>
    </row>
    <row r="111" spans="1:6">
      <c r="A111" s="19" t="s">
        <v>49</v>
      </c>
      <c r="B111" s="19" t="s">
        <v>48</v>
      </c>
      <c r="C111" s="25">
        <v>2</v>
      </c>
      <c r="D111" s="26">
        <v>1807.14</v>
      </c>
      <c r="E111" s="19" t="s">
        <v>184</v>
      </c>
      <c r="F111" s="19" t="s"/>
    </row>
    <row r="112" spans="1:6">
      <c r="A112" s="19" t="s">
        <v>36</v>
      </c>
      <c r="B112" s="19" t="s">
        <v>35</v>
      </c>
      <c r="C112" s="25">
        <v>1</v>
      </c>
      <c r="D112" s="26">
        <v>750</v>
      </c>
      <c r="E112" s="19" t="s">
        <v>167</v>
      </c>
      <c r="F112" s="19" t="s"/>
    </row>
    <row r="113" spans="1:6">
      <c r="A113" s="19" t="s">
        <v>43</v>
      </c>
      <c r="B113" s="19" t="s">
        <v>42</v>
      </c>
      <c r="C113" s="25">
        <v>3</v>
      </c>
      <c r="D113" s="26">
        <v>2250</v>
      </c>
      <c r="E113" s="19" t="s">
        <v>188</v>
      </c>
      <c r="F113" s="19" t="s"/>
    </row>
    <row r="114" spans="1:6">
      <c r="A114" s="19" t="s">
        <v>40</v>
      </c>
      <c r="B114" s="19" t="s">
        <v>39</v>
      </c>
      <c r="C114" s="25">
        <v>2</v>
      </c>
      <c r="D114" s="26">
        <v>2426.98</v>
      </c>
      <c r="E114" s="19" t="s">
        <v>557</v>
      </c>
      <c r="F114" s="19" t="s"/>
    </row>
    <row r="115" spans="1:6">
      <c r="A115" s="19" t="s">
        <v>55</v>
      </c>
      <c r="B115" s="19" t="s">
        <v>54</v>
      </c>
      <c r="C115" s="25">
        <v>2</v>
      </c>
      <c r="D115" s="26">
        <v>1807.14</v>
      </c>
      <c r="E115" s="19" t="s">
        <v>592</v>
      </c>
      <c r="F115" s="19" t="s"/>
    </row>
    <row r="116" spans="1:6">
      <c r="A116" s="19" t="s">
        <v>40</v>
      </c>
      <c r="B116" s="19" t="s">
        <v>39</v>
      </c>
      <c r="C116" s="25">
        <v>0.5</v>
      </c>
      <c r="D116" s="26">
        <v>408.24</v>
      </c>
      <c r="E116" s="19" t="s">
        <v>562</v>
      </c>
      <c r="F116" s="19" t="s"/>
    </row>
    <row r="117" spans="1:6">
      <c r="A117" s="19" t="s">
        <v>80</v>
      </c>
      <c r="B117" s="19" t="s">
        <v>615</v>
      </c>
      <c r="C117" s="25">
        <v>5</v>
      </c>
      <c r="D117" s="26">
        <v>4517.85</v>
      </c>
      <c r="E117" s="19" t="s">
        <v>517</v>
      </c>
      <c r="F117" s="19" t="s"/>
    </row>
    <row r="118" spans="1:6">
      <c r="A118" s="19" t="s">
        <v>47</v>
      </c>
      <c r="B118" s="19" t="s">
        <v>46</v>
      </c>
      <c r="C118" s="25">
        <v>5</v>
      </c>
      <c r="D118" s="26">
        <v>3198.4</v>
      </c>
      <c r="E118" s="19" t="s">
        <v>512</v>
      </c>
      <c r="F118" s="19" t="s"/>
    </row>
    <row r="119" spans="1:6">
      <c r="A119" s="19" t="s">
        <v>45</v>
      </c>
      <c r="B119" s="19" t="s">
        <v>44</v>
      </c>
      <c r="C119" s="25">
        <v>2</v>
      </c>
      <c r="D119" s="26">
        <v>1807.14</v>
      </c>
      <c r="E119" s="19" t="s">
        <v>184</v>
      </c>
      <c r="F119" s="19" t="s"/>
    </row>
    <row r="120" spans="1:6">
      <c r="A120" s="19" t="s">
        <v>49</v>
      </c>
      <c r="B120" s="19" t="s">
        <v>48</v>
      </c>
      <c r="C120" s="25">
        <v>3</v>
      </c>
      <c r="D120" s="26">
        <v>2710.71</v>
      </c>
      <c r="E120" s="19" t="s">
        <v>184</v>
      </c>
      <c r="F120" s="19" t="s"/>
    </row>
    <row r="121" spans="1:6">
      <c r="A121" s="19" t="s">
        <v>71</v>
      </c>
      <c r="B121" s="19" t="s">
        <v>70</v>
      </c>
      <c r="C121" s="25">
        <v>1</v>
      </c>
      <c r="D121" s="26">
        <v>955.56</v>
      </c>
      <c r="E121" s="19" t="s">
        <v>363</v>
      </c>
      <c r="F121" s="19" t="s"/>
    </row>
    <row r="122" spans="1:6">
      <c r="A122" s="19" t="s">
        <v>43</v>
      </c>
      <c r="B122" s="19" t="s">
        <v>42</v>
      </c>
      <c r="C122" s="25">
        <v>2</v>
      </c>
      <c r="D122" s="26">
        <v>1500</v>
      </c>
      <c r="E122" s="19" t="s">
        <v>188</v>
      </c>
      <c r="F122" s="19" t="s"/>
    </row>
  </sheetData>
  <mergeCells count="2">
    <mergeCell ref="A1:E1"/>
    <mergeCell ref="A2:E2"/>
  </mergeCells>
</worksheet>
</file>

<file path=xl/worksheets/sheet6.xml><?xml version="1.0" encoding="utf-8"?>
<worksheet xmlns="http://schemas.openxmlformats.org/spreadsheetml/2006/main">
  <sheetPr codeName="原始表-项目">
    <tabColor/>
  </sheetPr>
  <dimension ref="G510"/>
  <sheetViews>
    <sheetView showGridLines="1" rightToLeft="0" workbookViewId="0"/>
  </sheetViews>
  <sheetFormatPr baseColWidth="13" defaultRowHeight="18" customHeight="1"/>
  <cols>
    <col min="1" max="1" width="84.7109" customWidth="1"/>
    <col min="2" max="2" width="21.7109" customWidth="1"/>
    <col min="3" max="6" width="20.6328" customWidth="1"/>
    <col min="7" max="8" width="21.7109" customWidth="1"/>
    <col min="9" max="9" width="20.6328" customWidth="1"/>
    <col min="10" max="11" width="21.7109" customWidth="1"/>
    <col min="12" max="13" width="21.7109" customWidth="1"/>
  </cols>
  <sheetData>
    <row r="1" spans="1:1">
      <c r="A1" s="16" t="s"/>
    </row>
    <row r="2" spans="1:7">
      <c r="A2" s="16" t="s">
        <v>291</v>
      </c>
      <c r="G2" s="19" t="s"/>
    </row>
    <row r="3" spans="1:13">
      <c r="A3" s="24" t="s">
        <v>854</v>
      </c>
      <c r="G3" s="19" t="s"/>
      <c r="H3" s="19" t="s"/>
      <c r="I3" s="19" t="s"/>
      <c r="J3" s="19" t="s"/>
      <c r="K3" s="19" t="s"/>
      <c r="L3" s="19" t="s"/>
      <c r="M3" s="19" t="s"/>
    </row>
    <row r="4" spans="1:13">
      <c r="A4" s="19" t="s">
        <v>293</v>
      </c>
      <c r="B4" s="19" t="s">
        <v>26</v>
      </c>
      <c r="C4" s="19" t="s">
        <v>294</v>
      </c>
      <c r="D4" s="40" t="s">
        <v>31</v>
      </c>
      <c r="E4" s="40" t="s">
        <v>32</v>
      </c>
      <c r="F4" s="19" t="s">
        <v>146</v>
      </c>
      <c r="G4" s="40" t="s"/>
      <c r="H4" s="26" t="s"/>
      <c r="I4" s="19" t="s"/>
      <c r="J4" s="19" t="s"/>
      <c r="K4" s="27" t="s"/>
      <c r="L4" s="27" t="s"/>
      <c r="M4" s="27" t="s"/>
    </row>
    <row r="5" spans="1:13">
      <c r="A5" s="19" t="s">
        <v>107</v>
      </c>
      <c r="B5" s="19" t="s">
        <v>106</v>
      </c>
      <c r="C5" s="19" t="s">
        <v>310</v>
      </c>
      <c r="D5" s="25">
        <v>1</v>
      </c>
      <c r="E5" s="26">
        <v>715.91</v>
      </c>
      <c r="F5" s="19" t="s">
        <v>635</v>
      </c>
      <c r="G5" s="40" t="s"/>
      <c r="H5" s="26" t="s"/>
      <c r="I5" s="19" t="s"/>
      <c r="J5" s="19" t="s"/>
      <c r="K5" s="27" t="s"/>
      <c r="L5" s="27" t="s"/>
      <c r="M5" s="27" t="s"/>
    </row>
    <row r="6" spans="1:13">
      <c r="A6" s="19" t="s">
        <v>109</v>
      </c>
      <c r="B6" s="19" t="s">
        <v>108</v>
      </c>
      <c r="C6" s="19" t="s">
        <v>161</v>
      </c>
      <c r="D6" s="25">
        <v>0.72</v>
      </c>
      <c r="E6" s="26">
        <v>515.46</v>
      </c>
      <c r="F6" s="19" t="s">
        <v>635</v>
      </c>
      <c r="G6" s="40" t="s"/>
      <c r="H6" s="26" t="s"/>
      <c r="I6" s="19" t="s"/>
      <c r="J6" s="19" t="s"/>
      <c r="K6" s="27" t="s"/>
      <c r="L6" s="27" t="s"/>
      <c r="M6" s="27" t="s"/>
    </row>
    <row r="7" spans="1:13">
      <c r="A7" s="19" t="s">
        <v>309</v>
      </c>
      <c r="B7" s="19" t="s">
        <v>118</v>
      </c>
      <c r="C7" s="19" t="s">
        <v>310</v>
      </c>
      <c r="D7" s="25">
        <v>0.28</v>
      </c>
      <c r="E7" s="26">
        <v>200.45</v>
      </c>
      <c r="F7" s="19" t="s">
        <v>635</v>
      </c>
      <c r="G7" s="40" t="s"/>
      <c r="H7" s="26" t="s"/>
      <c r="I7" s="19" t="s"/>
      <c r="J7" s="19" t="s"/>
      <c r="K7" s="27" t="s"/>
      <c r="L7" s="27" t="s"/>
      <c r="M7" s="27" t="s"/>
    </row>
    <row r="8" spans="1:13">
      <c r="A8" s="19" t="s">
        <v>103</v>
      </c>
      <c r="B8" s="19" t="s">
        <v>102</v>
      </c>
      <c r="C8" s="19" t="s">
        <v>338</v>
      </c>
      <c r="D8" s="25">
        <v>1</v>
      </c>
      <c r="E8" s="26">
        <v>997.35</v>
      </c>
      <c r="F8" s="19" t="s">
        <v>638</v>
      </c>
      <c r="G8" s="40" t="s"/>
      <c r="H8" s="26" t="s"/>
      <c r="I8" s="19" t="s"/>
      <c r="J8" s="19" t="s"/>
      <c r="K8" s="27" t="s"/>
      <c r="L8" s="27" t="s"/>
      <c r="M8" s="27" t="s"/>
    </row>
    <row r="9" spans="1:13">
      <c r="A9" s="19" t="s">
        <v>360</v>
      </c>
      <c r="B9" s="19" t="s">
        <v>116</v>
      </c>
      <c r="C9" s="19" t="s">
        <v>338</v>
      </c>
      <c r="D9" s="25">
        <v>1</v>
      </c>
      <c r="E9" s="26">
        <v>610.61</v>
      </c>
      <c r="F9" s="19" t="s">
        <v>589</v>
      </c>
      <c r="G9" s="40" t="s"/>
      <c r="H9" s="26" t="s"/>
      <c r="I9" s="19" t="s"/>
      <c r="J9" s="19" t="s"/>
      <c r="K9" s="27" t="s"/>
      <c r="L9" s="27" t="s"/>
      <c r="M9" s="27" t="s"/>
    </row>
    <row r="10" spans="1:13">
      <c r="A10" s="19" t="s">
        <v>103</v>
      </c>
      <c r="B10" s="19" t="s">
        <v>102</v>
      </c>
      <c r="C10" s="19" t="s">
        <v>338</v>
      </c>
      <c r="D10" s="25">
        <v>0.5</v>
      </c>
      <c r="E10" s="26">
        <v>431.25</v>
      </c>
      <c r="F10" s="19" t="s">
        <v>592</v>
      </c>
      <c r="G10" s="40" t="s"/>
      <c r="H10" s="26" t="s"/>
      <c r="I10" s="19" t="s"/>
      <c r="J10" s="19" t="s"/>
      <c r="K10" s="27" t="s"/>
      <c r="L10" s="27" t="s"/>
      <c r="M10" s="27" t="s"/>
    </row>
    <row r="11" spans="1:13">
      <c r="A11" s="19" t="s">
        <v>80</v>
      </c>
      <c r="B11" s="19" t="s">
        <v>79</v>
      </c>
      <c r="C11" s="19" t="s">
        <v>312</v>
      </c>
      <c r="D11" s="25">
        <v>4</v>
      </c>
      <c r="E11" s="26">
        <v>3450</v>
      </c>
      <c r="F11" s="19" t="s">
        <v>592</v>
      </c>
      <c r="G11" s="40" t="s"/>
      <c r="H11" s="26" t="s"/>
      <c r="I11" s="19" t="s"/>
      <c r="J11" s="19" t="s"/>
      <c r="K11" s="27" t="s"/>
      <c r="L11" s="27" t="s"/>
      <c r="M11" s="27" t="s"/>
    </row>
    <row r="12" spans="1:13">
      <c r="A12" s="19" t="s">
        <v>86</v>
      </c>
      <c r="B12" s="19" t="s">
        <v>85</v>
      </c>
      <c r="C12" s="19" t="s">
        <v>297</v>
      </c>
      <c r="D12" s="25">
        <v>0.4</v>
      </c>
      <c r="E12" s="26">
        <v>345</v>
      </c>
      <c r="F12" s="19" t="s">
        <v>297</v>
      </c>
      <c r="G12" s="40" t="s"/>
      <c r="H12" s="26" t="s"/>
      <c r="I12" s="19" t="s"/>
      <c r="J12" s="19" t="s"/>
      <c r="K12" s="27" t="s"/>
      <c r="L12" s="27" t="s"/>
      <c r="M12" s="27" t="s"/>
    </row>
    <row r="13" spans="1:13">
      <c r="A13" s="19" t="s">
        <v>303</v>
      </c>
      <c r="B13" s="19" t="s">
        <v>89</v>
      </c>
      <c r="C13" s="19" t="s">
        <v>297</v>
      </c>
      <c r="D13" s="25">
        <v>2.3</v>
      </c>
      <c r="E13" s="26">
        <v>1983.75</v>
      </c>
      <c r="F13" s="19" t="s">
        <v>297</v>
      </c>
      <c r="G13" s="40" t="s"/>
      <c r="H13" s="26" t="s"/>
      <c r="I13" s="19" t="s"/>
      <c r="J13" s="19" t="s"/>
      <c r="K13" s="27" t="s"/>
      <c r="L13" s="27" t="s"/>
      <c r="M13" s="27" t="s"/>
    </row>
    <row r="14" spans="1:13">
      <c r="A14" s="19" t="s">
        <v>307</v>
      </c>
      <c r="B14" s="19" t="s">
        <v>96</v>
      </c>
      <c r="C14" s="19" t="s">
        <v>297</v>
      </c>
      <c r="D14" s="25">
        <v>0.4</v>
      </c>
      <c r="E14" s="26">
        <v>345</v>
      </c>
      <c r="F14" s="19" t="s">
        <v>297</v>
      </c>
      <c r="G14" s="40" t="s"/>
      <c r="H14" s="26" t="s"/>
      <c r="I14" s="19" t="s"/>
      <c r="J14" s="19" t="s"/>
      <c r="K14" s="27" t="s"/>
      <c r="L14" s="27" t="s"/>
      <c r="M14" s="27" t="s"/>
    </row>
    <row r="15" spans="1:13">
      <c r="A15" s="19" t="s">
        <v>305</v>
      </c>
      <c r="B15" s="19" t="s">
        <v>112</v>
      </c>
      <c r="C15" s="19" t="s">
        <v>297</v>
      </c>
      <c r="D15" s="25">
        <v>0.5</v>
      </c>
      <c r="E15" s="26">
        <v>431.25</v>
      </c>
      <c r="F15" s="19" t="s">
        <v>297</v>
      </c>
      <c r="G15" s="40" t="s"/>
      <c r="H15" s="26" t="s"/>
      <c r="I15" s="19" t="s"/>
      <c r="J15" s="19" t="s"/>
      <c r="K15" s="27" t="s"/>
      <c r="L15" s="27" t="s"/>
      <c r="M15" s="27" t="s"/>
    </row>
    <row r="16" spans="1:13">
      <c r="A16" s="19" t="s">
        <v>300</v>
      </c>
      <c r="B16" s="19" t="s">
        <v>100</v>
      </c>
      <c r="C16" s="19" t="s">
        <v>297</v>
      </c>
      <c r="D16" s="25">
        <v>0.6</v>
      </c>
      <c r="E16" s="26">
        <v>517.5</v>
      </c>
      <c r="F16" s="19" t="s">
        <v>297</v>
      </c>
      <c r="G16" s="40" t="s"/>
      <c r="H16" s="26" t="s"/>
      <c r="I16" s="19" t="s"/>
      <c r="J16" s="19" t="s"/>
      <c r="K16" s="27" t="s"/>
      <c r="L16" s="27" t="s"/>
      <c r="M16" s="27" t="s"/>
    </row>
    <row r="17" spans="1:13">
      <c r="A17" s="19" t="s">
        <v>121</v>
      </c>
      <c r="B17" s="19" t="s">
        <v>120</v>
      </c>
      <c r="C17" s="19" t="s">
        <v>297</v>
      </c>
      <c r="D17" s="25">
        <v>0.6</v>
      </c>
      <c r="E17" s="26">
        <v>517.5</v>
      </c>
      <c r="F17" s="19" t="s">
        <v>297</v>
      </c>
      <c r="G17" s="40" t="s"/>
      <c r="H17" s="26" t="s"/>
      <c r="I17" s="19" t="s"/>
      <c r="J17" s="19" t="s"/>
      <c r="K17" s="27" t="s"/>
      <c r="L17" s="27" t="s"/>
      <c r="M17" s="27" t="s"/>
    </row>
    <row r="18" spans="1:13">
      <c r="A18" s="19" t="s">
        <v>107</v>
      </c>
      <c r="B18" s="19" t="s">
        <v>106</v>
      </c>
      <c r="C18" s="19" t="s">
        <v>310</v>
      </c>
      <c r="D18" s="25">
        <v>5</v>
      </c>
      <c r="E18" s="26">
        <v>2602.25</v>
      </c>
      <c r="F18" s="19" t="s">
        <v>310</v>
      </c>
      <c r="G18" s="40" t="s"/>
      <c r="H18" s="26" t="s"/>
      <c r="I18" s="19" t="s"/>
      <c r="J18" s="19" t="s"/>
      <c r="K18" s="27" t="s"/>
      <c r="L18" s="27" t="s"/>
      <c r="M18" s="27" t="s"/>
    </row>
    <row r="19" spans="1:13">
      <c r="A19" s="19" t="s">
        <v>318</v>
      </c>
      <c r="B19" s="19" t="s">
        <v>126</v>
      </c>
      <c r="C19" s="19" t="s">
        <v>161</v>
      </c>
      <c r="D19" s="25">
        <v>1.5</v>
      </c>
      <c r="E19" s="26">
        <v>1737.5</v>
      </c>
      <c r="F19" s="19" t="s">
        <v>161</v>
      </c>
      <c r="G19" s="40" t="s"/>
      <c r="H19" s="26" t="s"/>
      <c r="I19" s="19" t="s"/>
      <c r="J19" s="19" t="s"/>
      <c r="K19" s="27" t="s"/>
      <c r="L19" s="27" t="s"/>
      <c r="M19" s="27" t="s"/>
    </row>
    <row r="20" spans="1:13">
      <c r="A20" s="19" t="s">
        <v>305</v>
      </c>
      <c r="B20" s="19" t="s">
        <v>112</v>
      </c>
      <c r="C20" s="19" t="s">
        <v>297</v>
      </c>
      <c r="D20" s="25">
        <v>0.5</v>
      </c>
      <c r="E20" s="26">
        <v>579.17</v>
      </c>
      <c r="F20" s="19" t="s">
        <v>161</v>
      </c>
      <c r="G20" s="40" t="s"/>
      <c r="H20" s="26" t="s"/>
      <c r="I20" s="19" t="s"/>
      <c r="J20" s="19" t="s"/>
      <c r="K20" s="27" t="s"/>
      <c r="L20" s="27" t="s"/>
      <c r="M20" s="27" t="s"/>
    </row>
    <row r="21" spans="1:13">
      <c r="A21" s="19" t="s">
        <v>84</v>
      </c>
      <c r="B21" s="19" t="s">
        <v>83</v>
      </c>
      <c r="C21" s="19" t="s">
        <v>161</v>
      </c>
      <c r="D21" s="25">
        <v>0.2</v>
      </c>
      <c r="E21" s="26">
        <v>231.67</v>
      </c>
      <c r="F21" s="19" t="s">
        <v>161</v>
      </c>
      <c r="G21" s="40" t="s"/>
      <c r="H21" s="26" t="s"/>
      <c r="I21" s="19" t="s"/>
      <c r="J21" s="19" t="s"/>
      <c r="K21" s="27" t="s"/>
      <c r="L21" s="27" t="s"/>
      <c r="M21" s="27" t="s"/>
    </row>
    <row r="22" spans="1:13">
      <c r="A22" s="19" t="s">
        <v>80</v>
      </c>
      <c r="B22" s="19" t="s">
        <v>79</v>
      </c>
      <c r="C22" s="19" t="s">
        <v>312</v>
      </c>
      <c r="D22" s="25">
        <v>1.5</v>
      </c>
      <c r="E22" s="26">
        <v>1368.18</v>
      </c>
      <c r="F22" s="19" t="s">
        <v>205</v>
      </c>
      <c r="G22" s="40" t="s"/>
      <c r="H22" s="26" t="s"/>
      <c r="I22" s="19" t="s"/>
      <c r="J22" s="19" t="s"/>
      <c r="K22" s="27" t="s"/>
      <c r="L22" s="27" t="s"/>
      <c r="M22" s="27" t="s"/>
    </row>
    <row r="23" spans="1:13">
      <c r="A23" s="19" t="s">
        <v>318</v>
      </c>
      <c r="B23" s="19" t="s">
        <v>126</v>
      </c>
      <c r="C23" s="19" t="s">
        <v>161</v>
      </c>
      <c r="D23" s="25">
        <v>1</v>
      </c>
      <c r="E23" s="26">
        <v>912.12</v>
      </c>
      <c r="F23" s="19" t="s">
        <v>205</v>
      </c>
      <c r="G23" s="40" t="s"/>
      <c r="H23" s="26" t="s"/>
      <c r="I23" s="19" t="s"/>
      <c r="J23" s="19" t="s"/>
      <c r="K23" s="27" t="s"/>
      <c r="L23" s="27" t="s"/>
      <c r="M23" s="27" t="s"/>
    </row>
    <row r="24" spans="1:13">
      <c r="A24" s="19" t="s">
        <v>80</v>
      </c>
      <c r="B24" s="19" t="s">
        <v>79</v>
      </c>
      <c r="C24" s="19" t="s">
        <v>312</v>
      </c>
      <c r="D24" s="25">
        <v>5</v>
      </c>
      <c r="E24" s="26">
        <v>5791.65</v>
      </c>
      <c r="F24" s="19" t="s">
        <v>312</v>
      </c>
      <c r="G24" s="40" t="s"/>
      <c r="H24" s="26" t="s"/>
      <c r="I24" s="19" t="s"/>
      <c r="J24" s="19" t="s"/>
      <c r="K24" s="27" t="s"/>
      <c r="L24" s="27" t="s"/>
      <c r="M24" s="27" t="s"/>
    </row>
    <row r="25" spans="1:13">
      <c r="A25" s="19" t="s">
        <v>80</v>
      </c>
      <c r="B25" s="19" t="s">
        <v>79</v>
      </c>
      <c r="C25" s="19" t="s">
        <v>312</v>
      </c>
      <c r="D25" s="25">
        <v>3.72</v>
      </c>
      <c r="E25" s="26">
        <v>2271.47</v>
      </c>
      <c r="F25" s="19" t="s">
        <v>575</v>
      </c>
      <c r="G25" s="40" t="s"/>
      <c r="H25" s="26" t="s"/>
      <c r="I25" s="19" t="s"/>
      <c r="J25" s="19" t="s"/>
      <c r="K25" s="27" t="s"/>
      <c r="L25" s="27" t="s"/>
      <c r="M25" s="27" t="s"/>
    </row>
    <row r="26" spans="1:13">
      <c r="A26" s="19" t="s">
        <v>103</v>
      </c>
      <c r="B26" s="19" t="s">
        <v>102</v>
      </c>
      <c r="C26" s="19" t="s">
        <v>338</v>
      </c>
      <c r="D26" s="25">
        <v>0.2</v>
      </c>
      <c r="E26" s="26">
        <v>172.5</v>
      </c>
      <c r="F26" s="19" t="s">
        <v>528</v>
      </c>
      <c r="G26" s="40" t="s"/>
      <c r="H26" s="26" t="s"/>
      <c r="I26" s="19" t="s"/>
      <c r="J26" s="19" t="s"/>
      <c r="K26" s="27" t="s"/>
      <c r="L26" s="27" t="s"/>
      <c r="M26" s="27" t="s"/>
    </row>
    <row r="27" spans="1:13">
      <c r="A27" s="19" t="s">
        <v>80</v>
      </c>
      <c r="B27" s="19" t="s">
        <v>79</v>
      </c>
      <c r="C27" s="19" t="s">
        <v>312</v>
      </c>
      <c r="D27" s="25">
        <v>4.65</v>
      </c>
      <c r="E27" s="26">
        <v>4010.63</v>
      </c>
      <c r="F27" s="19" t="s">
        <v>528</v>
      </c>
      <c r="G27" s="40" t="s"/>
      <c r="H27" s="26" t="s"/>
      <c r="I27" s="19" t="s"/>
      <c r="J27" s="19" t="s"/>
      <c r="K27" s="27" t="s"/>
      <c r="L27" s="27" t="s"/>
      <c r="M27" s="27" t="s"/>
    </row>
    <row r="28" spans="1:13">
      <c r="A28" s="19" t="s">
        <v>80</v>
      </c>
      <c r="B28" s="19" t="s">
        <v>79</v>
      </c>
      <c r="C28" s="19" t="s">
        <v>312</v>
      </c>
      <c r="D28" s="25">
        <v>4</v>
      </c>
      <c r="E28" s="26">
        <v>4045.44</v>
      </c>
      <c r="F28" s="19" t="s">
        <v>578</v>
      </c>
      <c r="G28" s="40" t="s"/>
      <c r="H28" s="26" t="s"/>
      <c r="I28" s="19" t="s"/>
      <c r="J28" s="19" t="s"/>
      <c r="K28" s="27" t="s"/>
      <c r="L28" s="27" t="s"/>
      <c r="M28" s="27" t="s"/>
    </row>
    <row r="29" spans="1:13">
      <c r="A29" s="19" t="s">
        <v>80</v>
      </c>
      <c r="B29" s="19" t="s">
        <v>79</v>
      </c>
      <c r="C29" s="19" t="s">
        <v>312</v>
      </c>
      <c r="D29" s="25">
        <v>1</v>
      </c>
      <c r="E29" s="26">
        <v>779.36</v>
      </c>
      <c r="F29" s="19" t="s">
        <v>648</v>
      </c>
      <c r="G29" s="40" t="s"/>
      <c r="H29" s="26" t="s"/>
      <c r="I29" s="19" t="s"/>
      <c r="J29" s="19" t="s"/>
      <c r="K29" s="27" t="s"/>
      <c r="L29" s="27" t="s"/>
      <c r="M29" s="27" t="s"/>
    </row>
    <row r="30" spans="1:13">
      <c r="A30" s="19" t="s">
        <v>80</v>
      </c>
      <c r="B30" s="19" t="s">
        <v>79</v>
      </c>
      <c r="C30" s="19" t="s">
        <v>312</v>
      </c>
      <c r="D30" s="25">
        <v>3.8</v>
      </c>
      <c r="E30" s="26">
        <v>2961.57</v>
      </c>
      <c r="F30" s="19" t="s">
        <v>648</v>
      </c>
      <c r="G30" s="40" t="s"/>
      <c r="H30" s="26" t="s"/>
      <c r="I30" s="19" t="s"/>
      <c r="J30" s="19" t="s"/>
      <c r="K30" s="27" t="s"/>
      <c r="L30" s="27" t="s"/>
      <c r="M30" s="27" t="s"/>
    </row>
    <row r="31" spans="1:13">
      <c r="A31" s="19" t="s">
        <v>80</v>
      </c>
      <c r="B31" s="19" t="s">
        <v>79</v>
      </c>
      <c r="C31" s="19" t="s">
        <v>312</v>
      </c>
      <c r="D31" s="25">
        <v>1.5</v>
      </c>
      <c r="E31" s="26">
        <v>780.68</v>
      </c>
      <c r="F31" s="19" t="s">
        <v>651</v>
      </c>
      <c r="G31" s="40" t="s"/>
      <c r="H31" s="26" t="s"/>
      <c r="I31" s="19" t="s"/>
      <c r="J31" s="19" t="s"/>
      <c r="K31" s="27" t="s"/>
      <c r="L31" s="27" t="s"/>
      <c r="M31" s="27" t="s"/>
    </row>
    <row r="32" spans="1:13">
      <c r="A32" s="19" t="s">
        <v>103</v>
      </c>
      <c r="B32" s="19" t="s">
        <v>102</v>
      </c>
      <c r="C32" s="19" t="s">
        <v>338</v>
      </c>
      <c r="D32" s="25">
        <v>3.5</v>
      </c>
      <c r="E32" s="26">
        <v>1821.58</v>
      </c>
      <c r="F32" s="19" t="s">
        <v>651</v>
      </c>
      <c r="G32" s="40" t="s"/>
      <c r="H32" s="26" t="s"/>
      <c r="I32" s="19" t="s"/>
      <c r="J32" s="19" t="s"/>
      <c r="K32" s="27" t="s"/>
      <c r="L32" s="27" t="s"/>
      <c r="M32" s="27" t="s"/>
    </row>
    <row r="33" spans="1:13">
      <c r="A33" s="19" t="s">
        <v>80</v>
      </c>
      <c r="B33" s="19" t="s">
        <v>79</v>
      </c>
      <c r="C33" s="19" t="s">
        <v>312</v>
      </c>
      <c r="D33" s="25">
        <v>4.8</v>
      </c>
      <c r="E33" s="26">
        <v>2930.93</v>
      </c>
      <c r="F33" s="19" t="s">
        <v>655</v>
      </c>
      <c r="G33" s="40" t="s"/>
      <c r="H33" s="26" t="s"/>
      <c r="I33" s="19" t="s"/>
      <c r="J33" s="19" t="s"/>
      <c r="K33" s="27" t="s"/>
      <c r="L33" s="27" t="s"/>
      <c r="M33" s="27" t="s"/>
    </row>
    <row r="34" spans="1:13">
      <c r="A34" s="19" t="s">
        <v>80</v>
      </c>
      <c r="B34" s="19" t="s">
        <v>79</v>
      </c>
      <c r="C34" s="19" t="s">
        <v>312</v>
      </c>
      <c r="D34" s="25">
        <v>0.5</v>
      </c>
      <c r="E34" s="26">
        <v>714.02</v>
      </c>
      <c r="F34" s="19" t="s">
        <v>158</v>
      </c>
      <c r="G34" s="40" t="s"/>
      <c r="H34" s="26" t="s"/>
      <c r="I34" s="19" t="s"/>
      <c r="J34" s="19" t="s"/>
      <c r="K34" s="27" t="s"/>
      <c r="L34" s="27" t="s"/>
      <c r="M34" s="27" t="s"/>
    </row>
    <row r="35" spans="1:13">
      <c r="A35" s="19" t="s">
        <v>103</v>
      </c>
      <c r="B35" s="19" t="s">
        <v>102</v>
      </c>
      <c r="C35" s="19" t="s">
        <v>338</v>
      </c>
      <c r="D35" s="25">
        <v>2</v>
      </c>
      <c r="E35" s="26">
        <v>1824.24</v>
      </c>
      <c r="F35" s="19" t="s">
        <v>363</v>
      </c>
      <c r="G35" s="40" t="s"/>
      <c r="H35" s="26" t="s"/>
      <c r="I35" s="19" t="s"/>
      <c r="J35" s="19" t="s"/>
      <c r="K35" s="27" t="s"/>
      <c r="L35" s="27" t="s"/>
      <c r="M35" s="27" t="s"/>
    </row>
    <row r="36" spans="1:13">
      <c r="A36" s="19" t="s">
        <v>80</v>
      </c>
      <c r="B36" s="19" t="s">
        <v>79</v>
      </c>
      <c r="C36" s="19" t="s">
        <v>312</v>
      </c>
      <c r="D36" s="25">
        <v>1</v>
      </c>
      <c r="E36" s="26">
        <v>912.12</v>
      </c>
      <c r="F36" s="19" t="s">
        <v>363</v>
      </c>
      <c r="G36" s="40" t="s"/>
      <c r="H36" s="26" t="s"/>
      <c r="I36" s="19" t="s"/>
      <c r="J36" s="19" t="s"/>
      <c r="K36" s="27" t="s"/>
      <c r="L36" s="27" t="s"/>
      <c r="M36" s="27" t="s"/>
    </row>
    <row r="37" spans="1:13">
      <c r="A37" s="19" t="s">
        <v>80</v>
      </c>
      <c r="B37" s="19" t="s">
        <v>79</v>
      </c>
      <c r="C37" s="19" t="s">
        <v>312</v>
      </c>
      <c r="D37" s="25">
        <v>2</v>
      </c>
      <c r="E37" s="26">
        <v>1824.24</v>
      </c>
      <c r="F37" s="19" t="s">
        <v>363</v>
      </c>
      <c r="G37" s="40" t="s"/>
      <c r="H37" s="26" t="s"/>
      <c r="I37" s="19" t="s"/>
      <c r="J37" s="19" t="s"/>
      <c r="K37" s="27" t="s"/>
      <c r="L37" s="27" t="s"/>
      <c r="M37" s="27" t="s"/>
    </row>
    <row r="38" spans="1:13">
      <c r="A38" s="19" t="s">
        <v>107</v>
      </c>
      <c r="B38" s="19" t="s">
        <v>106</v>
      </c>
      <c r="C38" s="19" t="s">
        <v>310</v>
      </c>
      <c r="D38" s="25">
        <v>0.28</v>
      </c>
      <c r="E38" s="26">
        <v>200.45</v>
      </c>
      <c r="F38" s="19" t="s">
        <v>635</v>
      </c>
      <c r="G38" s="40" t="s"/>
      <c r="H38" s="26" t="s"/>
      <c r="I38" s="19" t="s"/>
      <c r="J38" s="19" t="s"/>
      <c r="K38" s="27" t="s"/>
      <c r="L38" s="27" t="s"/>
      <c r="M38" s="27" t="s"/>
    </row>
    <row r="39" spans="1:13">
      <c r="A39" s="19" t="s">
        <v>109</v>
      </c>
      <c r="B39" s="19" t="s">
        <v>108</v>
      </c>
      <c r="C39" s="19" t="s">
        <v>161</v>
      </c>
      <c r="D39" s="25">
        <v>0.72</v>
      </c>
      <c r="E39" s="26">
        <v>515.46</v>
      </c>
      <c r="F39" s="19" t="s">
        <v>635</v>
      </c>
      <c r="G39" s="40" t="s"/>
      <c r="H39" s="26" t="s"/>
      <c r="I39" s="19" t="s"/>
      <c r="J39" s="19" t="s"/>
      <c r="K39" s="27" t="s"/>
      <c r="L39" s="27" t="s"/>
      <c r="M39" s="27" t="s"/>
    </row>
    <row r="40" spans="1:13">
      <c r="A40" s="19" t="s">
        <v>303</v>
      </c>
      <c r="B40" s="19" t="s">
        <v>89</v>
      </c>
      <c r="C40" s="19" t="s">
        <v>297</v>
      </c>
      <c r="D40" s="25">
        <v>3</v>
      </c>
      <c r="E40" s="26">
        <v>2992.05</v>
      </c>
      <c r="F40" s="19" t="s">
        <v>638</v>
      </c>
      <c r="G40" s="40" t="s"/>
      <c r="H40" s="26" t="s"/>
      <c r="I40" s="19" t="s"/>
      <c r="J40" s="19" t="s"/>
      <c r="K40" s="27" t="s"/>
      <c r="L40" s="27" t="s"/>
      <c r="M40" s="27" t="s"/>
    </row>
    <row r="41" spans="1:13">
      <c r="A41" s="19" t="s">
        <v>360</v>
      </c>
      <c r="B41" s="19" t="s">
        <v>116</v>
      </c>
      <c r="C41" s="19" t="s">
        <v>338</v>
      </c>
      <c r="D41" s="25">
        <v>2</v>
      </c>
      <c r="E41" s="26">
        <v>1221.22</v>
      </c>
      <c r="F41" s="19" t="s">
        <v>589</v>
      </c>
      <c r="G41" s="40" t="s"/>
      <c r="H41" s="26" t="s"/>
      <c r="I41" s="19" t="s"/>
      <c r="J41" s="19" t="s"/>
      <c r="K41" s="27" t="s"/>
      <c r="L41" s="27" t="s"/>
      <c r="M41" s="27" t="s"/>
    </row>
    <row r="42" spans="1:13">
      <c r="A42" s="19" t="s">
        <v>103</v>
      </c>
      <c r="B42" s="19" t="s">
        <v>102</v>
      </c>
      <c r="C42" s="19" t="s">
        <v>338</v>
      </c>
      <c r="D42" s="25">
        <v>0.5</v>
      </c>
      <c r="E42" s="26">
        <v>305.31</v>
      </c>
      <c r="F42" s="19" t="s">
        <v>589</v>
      </c>
      <c r="G42" s="40" t="s"/>
      <c r="H42" s="26" t="s"/>
      <c r="I42" s="19" t="s"/>
      <c r="J42" s="19" t="s"/>
      <c r="K42" s="27" t="s"/>
      <c r="L42" s="27" t="s"/>
      <c r="M42" s="27" t="s"/>
    </row>
    <row r="43" spans="1:13">
      <c r="A43" s="19" t="s">
        <v>80</v>
      </c>
      <c r="B43" s="19" t="s">
        <v>79</v>
      </c>
      <c r="C43" s="19" t="s">
        <v>312</v>
      </c>
      <c r="D43" s="25">
        <v>2</v>
      </c>
      <c r="E43" s="26">
        <v>1558.72</v>
      </c>
      <c r="F43" s="19" t="s">
        <v>658</v>
      </c>
      <c r="G43" s="40" t="s"/>
      <c r="H43" s="26" t="s"/>
      <c r="I43" s="19" t="s"/>
      <c r="J43" s="19" t="s"/>
      <c r="K43" s="27" t="s"/>
      <c r="L43" s="27" t="s"/>
      <c r="M43" s="27" t="s"/>
    </row>
    <row r="44" spans="1:13">
      <c r="A44" s="19" t="s">
        <v>80</v>
      </c>
      <c r="B44" s="19" t="s">
        <v>79</v>
      </c>
      <c r="C44" s="19" t="s">
        <v>312</v>
      </c>
      <c r="D44" s="25">
        <v>2.4</v>
      </c>
      <c r="E44" s="26">
        <v>1870.46</v>
      </c>
      <c r="F44" s="19" t="s">
        <v>658</v>
      </c>
      <c r="G44" s="40" t="s"/>
      <c r="H44" s="26" t="s"/>
      <c r="I44" s="19" t="s"/>
      <c r="J44" s="19" t="s"/>
      <c r="K44" s="27" t="s"/>
      <c r="L44" s="27" t="s"/>
      <c r="M44" s="27" t="s"/>
    </row>
    <row r="45" spans="1:13">
      <c r="A45" s="19" t="s">
        <v>80</v>
      </c>
      <c r="B45" s="19" t="s">
        <v>79</v>
      </c>
      <c r="C45" s="19" t="s">
        <v>312</v>
      </c>
      <c r="D45" s="25">
        <v>3.99</v>
      </c>
      <c r="E45" s="26">
        <v>2436.33</v>
      </c>
      <c r="F45" s="19" t="s">
        <v>575</v>
      </c>
      <c r="G45" s="40" t="s"/>
      <c r="H45" s="26" t="s"/>
      <c r="I45" s="19" t="s"/>
      <c r="J45" s="19" t="s"/>
      <c r="K45" s="27" t="s"/>
      <c r="L45" s="27" t="s"/>
      <c r="M45" s="27" t="s"/>
    </row>
    <row r="46" spans="1:13">
      <c r="A46" s="19" t="s">
        <v>103</v>
      </c>
      <c r="B46" s="19" t="s">
        <v>102</v>
      </c>
      <c r="C46" s="19" t="s">
        <v>338</v>
      </c>
      <c r="D46" s="25">
        <v>1</v>
      </c>
      <c r="E46" s="26">
        <v>610.61</v>
      </c>
      <c r="F46" s="19" t="s">
        <v>641</v>
      </c>
      <c r="G46" s="40" t="s"/>
      <c r="H46" s="26" t="s"/>
      <c r="I46" s="19" t="s"/>
      <c r="J46" s="19" t="s"/>
      <c r="K46" s="27" t="s"/>
      <c r="L46" s="27" t="s"/>
      <c r="M46" s="27" t="s"/>
    </row>
    <row r="47" spans="1:13">
      <c r="A47" s="19" t="s">
        <v>80</v>
      </c>
      <c r="B47" s="19" t="s">
        <v>79</v>
      </c>
      <c r="C47" s="19" t="s">
        <v>312</v>
      </c>
      <c r="D47" s="25">
        <v>2.5</v>
      </c>
      <c r="E47" s="26">
        <v>1526.53</v>
      </c>
      <c r="F47" s="19" t="s">
        <v>641</v>
      </c>
      <c r="G47" s="40" t="s"/>
      <c r="H47" s="26" t="s"/>
      <c r="I47" s="19" t="s"/>
      <c r="J47" s="19" t="s"/>
      <c r="K47" s="27" t="s"/>
      <c r="L47" s="27" t="s"/>
      <c r="M47" s="27" t="s"/>
    </row>
    <row r="48" spans="1:13">
      <c r="A48" s="19" t="s">
        <v>80</v>
      </c>
      <c r="B48" s="19" t="s">
        <v>79</v>
      </c>
      <c r="C48" s="19" t="s">
        <v>312</v>
      </c>
      <c r="D48" s="25">
        <v>4.5</v>
      </c>
      <c r="E48" s="26">
        <v>3881.25</v>
      </c>
      <c r="F48" s="19" t="s">
        <v>528</v>
      </c>
      <c r="G48" s="40" t="s"/>
      <c r="H48" s="26" t="s"/>
      <c r="I48" s="19" t="s"/>
      <c r="J48" s="19" t="s"/>
      <c r="K48" s="27" t="s"/>
      <c r="L48" s="27" t="s"/>
      <c r="M48" s="27" t="s"/>
    </row>
    <row r="49" spans="1:13">
      <c r="A49" s="19" t="s">
        <v>80</v>
      </c>
      <c r="B49" s="19" t="s">
        <v>79</v>
      </c>
      <c r="C49" s="19" t="s">
        <v>312</v>
      </c>
      <c r="D49" s="25">
        <v>2</v>
      </c>
      <c r="E49" s="26">
        <v>1725</v>
      </c>
      <c r="F49" s="19" t="s">
        <v>154</v>
      </c>
      <c r="G49" s="40" t="s"/>
      <c r="H49" s="26" t="s"/>
      <c r="I49" s="19" t="s"/>
      <c r="J49" s="19" t="s"/>
      <c r="K49" s="27" t="s"/>
      <c r="L49" s="27" t="s"/>
      <c r="M49" s="27" t="s"/>
    </row>
    <row r="50" spans="1:13">
      <c r="A50" s="19" t="s">
        <v>303</v>
      </c>
      <c r="B50" s="19" t="s">
        <v>89</v>
      </c>
      <c r="C50" s="19" t="s">
        <v>297</v>
      </c>
      <c r="D50" s="25">
        <v>2</v>
      </c>
      <c r="E50" s="26">
        <v>1725</v>
      </c>
      <c r="F50" s="19" t="s">
        <v>154</v>
      </c>
      <c r="G50" s="40" t="s"/>
      <c r="H50" s="26" t="s"/>
      <c r="I50" s="19" t="s"/>
      <c r="J50" s="19" t="s"/>
      <c r="K50" s="27" t="s"/>
      <c r="L50" s="27" t="s"/>
      <c r="M50" s="27" t="s"/>
    </row>
    <row r="51" spans="1:13">
      <c r="A51" s="19" t="s">
        <v>80</v>
      </c>
      <c r="B51" s="19" t="s">
        <v>79</v>
      </c>
      <c r="C51" s="19" t="s">
        <v>312</v>
      </c>
      <c r="D51" s="25">
        <v>0.2</v>
      </c>
      <c r="E51" s="26">
        <v>172.5</v>
      </c>
      <c r="F51" s="19" t="s">
        <v>154</v>
      </c>
      <c r="G51" s="40" t="s"/>
      <c r="H51" s="26" t="s"/>
      <c r="I51" s="19" t="s"/>
      <c r="J51" s="19" t="s"/>
      <c r="K51" s="27" t="s"/>
      <c r="L51" s="27" t="s"/>
      <c r="M51" s="27" t="s"/>
    </row>
    <row r="52" spans="1:13">
      <c r="A52" s="19" t="s">
        <v>305</v>
      </c>
      <c r="B52" s="19" t="s">
        <v>112</v>
      </c>
      <c r="C52" s="19" t="s">
        <v>297</v>
      </c>
      <c r="D52" s="25">
        <v>0.5</v>
      </c>
      <c r="E52" s="26">
        <v>505.68</v>
      </c>
      <c r="F52" s="19" t="s">
        <v>578</v>
      </c>
      <c r="G52" s="40" t="s"/>
      <c r="H52" s="26" t="s"/>
      <c r="I52" s="19" t="s"/>
      <c r="J52" s="19" t="s"/>
      <c r="K52" s="27" t="s"/>
      <c r="L52" s="27" t="s"/>
      <c r="M52" s="27" t="s"/>
    </row>
    <row r="53" spans="1:13">
      <c r="A53" s="19" t="s">
        <v>80</v>
      </c>
      <c r="B53" s="19" t="s">
        <v>79</v>
      </c>
      <c r="C53" s="19" t="s">
        <v>312</v>
      </c>
      <c r="D53" s="25">
        <v>1.5</v>
      </c>
      <c r="E53" s="26">
        <v>1517.04</v>
      </c>
      <c r="F53" s="19" t="s">
        <v>578</v>
      </c>
      <c r="G53" s="40" t="s"/>
      <c r="H53" s="26" t="s"/>
      <c r="I53" s="19" t="s"/>
      <c r="J53" s="19" t="s"/>
      <c r="K53" s="27" t="s"/>
      <c r="L53" s="27" t="s"/>
      <c r="M53" s="27" t="s"/>
    </row>
    <row r="54" spans="1:13">
      <c r="A54" s="19" t="s">
        <v>360</v>
      </c>
      <c r="B54" s="19" t="s">
        <v>116</v>
      </c>
      <c r="C54" s="19" t="s">
        <v>338</v>
      </c>
      <c r="D54" s="25">
        <v>2</v>
      </c>
      <c r="E54" s="26">
        <v>1558.72</v>
      </c>
      <c r="F54" s="19" t="s">
        <v>562</v>
      </c>
      <c r="G54" s="40" t="s"/>
      <c r="H54" s="26" t="s"/>
      <c r="I54" s="19" t="s"/>
      <c r="J54" s="19" t="s"/>
      <c r="K54" s="27" t="s"/>
      <c r="L54" s="27" t="s"/>
      <c r="M54" s="27" t="s"/>
    </row>
    <row r="55" spans="1:13">
      <c r="A55" s="19" t="s">
        <v>80</v>
      </c>
      <c r="B55" s="19" t="s">
        <v>79</v>
      </c>
      <c r="C55" s="19" t="s">
        <v>312</v>
      </c>
      <c r="D55" s="25">
        <v>3</v>
      </c>
      <c r="E55" s="26">
        <v>2338.08</v>
      </c>
      <c r="F55" s="19" t="s">
        <v>562</v>
      </c>
      <c r="G55" s="40" t="s"/>
      <c r="H55" s="26" t="s"/>
      <c r="I55" s="19" t="s"/>
      <c r="J55" s="19" t="s"/>
      <c r="K55" s="27" t="s"/>
      <c r="L55" s="27" t="s"/>
      <c r="M55" s="27" t="s"/>
    </row>
    <row r="56" spans="1:13">
      <c r="A56" s="19" t="s">
        <v>86</v>
      </c>
      <c r="B56" s="19" t="s">
        <v>85</v>
      </c>
      <c r="C56" s="19" t="s">
        <v>297</v>
      </c>
      <c r="D56" s="25">
        <v>1.5</v>
      </c>
      <c r="E56" s="26">
        <v>1169.04</v>
      </c>
      <c r="F56" s="19" t="s">
        <v>648</v>
      </c>
      <c r="G56" s="40" t="s"/>
      <c r="H56" s="26" t="s"/>
      <c r="I56" s="19" t="s"/>
      <c r="J56" s="19" t="s"/>
      <c r="K56" s="27" t="s"/>
      <c r="L56" s="27" t="s"/>
      <c r="M56" s="27" t="s"/>
    </row>
    <row r="57" spans="1:13">
      <c r="A57" s="19" t="s">
        <v>80</v>
      </c>
      <c r="B57" s="19" t="s">
        <v>79</v>
      </c>
      <c r="C57" s="19" t="s">
        <v>312</v>
      </c>
      <c r="D57" s="25">
        <v>3</v>
      </c>
      <c r="E57" s="26">
        <v>2338.08</v>
      </c>
      <c r="F57" s="19" t="s">
        <v>648</v>
      </c>
      <c r="G57" s="40" t="s"/>
      <c r="H57" s="26" t="s"/>
      <c r="I57" s="19" t="s"/>
      <c r="J57" s="19" t="s"/>
      <c r="K57" s="27" t="s"/>
      <c r="L57" s="27" t="s"/>
      <c r="M57" s="27" t="s"/>
    </row>
    <row r="58" spans="1:13">
      <c r="A58" s="19" t="s">
        <v>103</v>
      </c>
      <c r="B58" s="19" t="s">
        <v>102</v>
      </c>
      <c r="C58" s="19" t="s">
        <v>338</v>
      </c>
      <c r="D58" s="25">
        <v>0.5</v>
      </c>
      <c r="E58" s="26">
        <v>260.23</v>
      </c>
      <c r="F58" s="19" t="s">
        <v>651</v>
      </c>
      <c r="G58" s="40" t="s"/>
      <c r="H58" s="26" t="s"/>
      <c r="I58" s="19" t="s"/>
      <c r="J58" s="19" t="s"/>
      <c r="K58" s="27" t="s"/>
      <c r="L58" s="27" t="s"/>
      <c r="M58" s="27" t="s"/>
    </row>
    <row r="59" spans="1:13">
      <c r="A59" s="19" t="s">
        <v>80</v>
      </c>
      <c r="B59" s="19" t="s">
        <v>79</v>
      </c>
      <c r="C59" s="19" t="s">
        <v>312</v>
      </c>
      <c r="D59" s="25">
        <v>4</v>
      </c>
      <c r="E59" s="26">
        <v>2081.8</v>
      </c>
      <c r="F59" s="19" t="s">
        <v>651</v>
      </c>
      <c r="G59" s="40" t="s"/>
      <c r="H59" s="26" t="s"/>
      <c r="I59" s="19" t="s"/>
      <c r="J59" s="19" t="s"/>
      <c r="K59" s="27" t="s"/>
      <c r="L59" s="27" t="s"/>
      <c r="M59" s="27" t="s"/>
    </row>
    <row r="60" spans="1:13">
      <c r="A60" s="19" t="s">
        <v>80</v>
      </c>
      <c r="B60" s="19" t="s">
        <v>79</v>
      </c>
      <c r="C60" s="19" t="s">
        <v>312</v>
      </c>
      <c r="D60" s="25">
        <v>1</v>
      </c>
      <c r="E60" s="26">
        <v>610.61</v>
      </c>
      <c r="F60" s="19" t="s">
        <v>655</v>
      </c>
      <c r="G60" s="40" t="s"/>
      <c r="H60" s="26" t="s"/>
      <c r="I60" s="19" t="s"/>
      <c r="J60" s="19" t="s"/>
      <c r="K60" s="27" t="s"/>
      <c r="L60" s="27" t="s"/>
      <c r="M60" s="27" t="s"/>
    </row>
    <row r="61" spans="1:13">
      <c r="A61" s="19" t="s">
        <v>86</v>
      </c>
      <c r="B61" s="19" t="s">
        <v>85</v>
      </c>
      <c r="C61" s="19" t="s">
        <v>297</v>
      </c>
      <c r="D61" s="25">
        <v>3.5</v>
      </c>
      <c r="E61" s="26">
        <v>2137.14</v>
      </c>
      <c r="F61" s="19" t="s">
        <v>655</v>
      </c>
      <c r="G61" s="40" t="s"/>
      <c r="H61" s="26" t="s"/>
      <c r="I61" s="19" t="s"/>
      <c r="J61" s="19" t="s"/>
      <c r="K61" s="27" t="s"/>
      <c r="L61" s="27" t="s"/>
      <c r="M61" s="27" t="s"/>
    </row>
    <row r="62" spans="1:13">
      <c r="A62" s="19" t="s">
        <v>86</v>
      </c>
      <c r="B62" s="19" t="s">
        <v>85</v>
      </c>
      <c r="C62" s="19" t="s">
        <v>297</v>
      </c>
      <c r="D62" s="25">
        <v>0.5</v>
      </c>
      <c r="E62" s="26">
        <v>431.25</v>
      </c>
      <c r="F62" s="19" t="s">
        <v>297</v>
      </c>
      <c r="G62" s="40" t="s"/>
      <c r="H62" s="26" t="s"/>
      <c r="I62" s="19" t="s"/>
      <c r="J62" s="19" t="s"/>
      <c r="K62" s="27" t="s"/>
      <c r="L62" s="27" t="s"/>
      <c r="M62" s="27" t="s"/>
    </row>
    <row r="63" spans="1:13">
      <c r="A63" s="19" t="s">
        <v>300</v>
      </c>
      <c r="B63" s="19" t="s">
        <v>100</v>
      </c>
      <c r="C63" s="19" t="s">
        <v>297</v>
      </c>
      <c r="D63" s="25">
        <v>0.5</v>
      </c>
      <c r="E63" s="26">
        <v>431.25</v>
      </c>
      <c r="F63" s="19" t="s">
        <v>297</v>
      </c>
      <c r="G63" s="40" t="s"/>
      <c r="H63" s="26" t="s"/>
      <c r="I63" s="19" t="s"/>
      <c r="J63" s="19" t="s"/>
      <c r="K63" s="27" t="s"/>
      <c r="L63" s="27" t="s"/>
      <c r="M63" s="27" t="s"/>
    </row>
    <row r="64" spans="1:13">
      <c r="A64" s="19" t="s">
        <v>139</v>
      </c>
      <c r="B64" s="19" t="s">
        <v>138</v>
      </c>
      <c r="C64" s="19" t="s">
        <v>297</v>
      </c>
      <c r="D64" s="25">
        <v>0.5</v>
      </c>
      <c r="E64" s="26">
        <v>431.25</v>
      </c>
      <c r="F64" s="19" t="s">
        <v>297</v>
      </c>
      <c r="G64" s="40" t="s"/>
      <c r="H64" s="26" t="s"/>
      <c r="I64" s="19" t="s"/>
      <c r="J64" s="19" t="s"/>
      <c r="K64" s="27" t="s"/>
      <c r="L64" s="27" t="s"/>
      <c r="M64" s="27" t="s"/>
    </row>
    <row r="65" spans="1:13">
      <c r="A65" s="19" t="s">
        <v>303</v>
      </c>
      <c r="B65" s="19" t="s">
        <v>89</v>
      </c>
      <c r="C65" s="19" t="s">
        <v>297</v>
      </c>
      <c r="D65" s="25">
        <v>1</v>
      </c>
      <c r="E65" s="26">
        <v>862.5</v>
      </c>
      <c r="F65" s="19" t="s">
        <v>297</v>
      </c>
      <c r="G65" s="40" t="s"/>
      <c r="H65" s="26" t="s"/>
      <c r="I65" s="19" t="s"/>
      <c r="J65" s="19" t="s"/>
      <c r="K65" s="27" t="s"/>
      <c r="L65" s="27" t="s"/>
      <c r="M65" s="27" t="s"/>
    </row>
    <row r="66" spans="1:13">
      <c r="A66" s="19" t="s">
        <v>305</v>
      </c>
      <c r="B66" s="19" t="s">
        <v>112</v>
      </c>
      <c r="C66" s="19" t="s">
        <v>297</v>
      </c>
      <c r="D66" s="25">
        <v>1</v>
      </c>
      <c r="E66" s="26">
        <v>862.5</v>
      </c>
      <c r="F66" s="19" t="s">
        <v>297</v>
      </c>
      <c r="G66" s="40" t="s"/>
      <c r="H66" s="26" t="s"/>
      <c r="I66" s="19" t="s"/>
      <c r="J66" s="19" t="s"/>
      <c r="K66" s="27" t="s"/>
      <c r="L66" s="27" t="s"/>
      <c r="M66" s="27" t="s"/>
    </row>
    <row r="67" spans="1:13">
      <c r="A67" s="19" t="s">
        <v>307</v>
      </c>
      <c r="B67" s="19" t="s">
        <v>96</v>
      </c>
      <c r="C67" s="19" t="s">
        <v>297</v>
      </c>
      <c r="D67" s="25">
        <v>0.5</v>
      </c>
      <c r="E67" s="26">
        <v>431.25</v>
      </c>
      <c r="F67" s="19" t="s">
        <v>297</v>
      </c>
      <c r="G67" s="40" t="s"/>
      <c r="H67" s="26" t="s"/>
      <c r="I67" s="19" t="s"/>
      <c r="J67" s="19" t="s"/>
      <c r="K67" s="27" t="s"/>
      <c r="L67" s="27" t="s"/>
      <c r="M67" s="27" t="s"/>
    </row>
    <row r="68" spans="1:13">
      <c r="A68" s="19" t="s">
        <v>80</v>
      </c>
      <c r="B68" s="19" t="s">
        <v>79</v>
      </c>
      <c r="C68" s="19" t="s">
        <v>312</v>
      </c>
      <c r="D68" s="25">
        <v>5</v>
      </c>
      <c r="E68" s="26">
        <v>2602.25</v>
      </c>
      <c r="F68" s="19" t="s">
        <v>211</v>
      </c>
      <c r="G68" s="40" t="s"/>
      <c r="H68" s="26" t="s"/>
      <c r="I68" s="19" t="s"/>
      <c r="J68" s="19" t="s"/>
      <c r="K68" s="27" t="s"/>
      <c r="L68" s="27" t="s"/>
      <c r="M68" s="27" t="s"/>
    </row>
    <row r="69" spans="1:13">
      <c r="A69" s="19" t="s">
        <v>309</v>
      </c>
      <c r="B69" s="19" t="s">
        <v>118</v>
      </c>
      <c r="C69" s="19" t="s">
        <v>310</v>
      </c>
      <c r="D69" s="25">
        <v>5</v>
      </c>
      <c r="E69" s="26">
        <v>2602.25</v>
      </c>
      <c r="F69" s="19" t="s">
        <v>310</v>
      </c>
      <c r="G69" s="40" t="s"/>
      <c r="H69" s="26" t="s"/>
      <c r="I69" s="19" t="s"/>
      <c r="J69" s="19" t="s"/>
      <c r="K69" s="27" t="s"/>
      <c r="L69" s="27" t="s"/>
      <c r="M69" s="27" t="s"/>
    </row>
    <row r="70" spans="1:13">
      <c r="A70" s="19" t="s">
        <v>80</v>
      </c>
      <c r="B70" s="19" t="s">
        <v>79</v>
      </c>
      <c r="C70" s="19" t="s">
        <v>312</v>
      </c>
      <c r="D70" s="25">
        <v>1.5</v>
      </c>
      <c r="E70" s="26">
        <v>2142.05</v>
      </c>
      <c r="F70" s="19" t="s">
        <v>158</v>
      </c>
      <c r="G70" s="40" t="s"/>
      <c r="H70" s="26" t="s"/>
      <c r="I70" s="19" t="s"/>
      <c r="J70" s="19" t="s"/>
      <c r="K70" s="27" t="s"/>
      <c r="L70" s="27" t="s"/>
      <c r="M70" s="27" t="s"/>
    </row>
    <row r="71" spans="1:13">
      <c r="A71" s="19" t="s">
        <v>80</v>
      </c>
      <c r="B71" s="19" t="s">
        <v>79</v>
      </c>
      <c r="C71" s="19" t="s">
        <v>312</v>
      </c>
      <c r="D71" s="25">
        <v>5</v>
      </c>
      <c r="E71" s="26">
        <v>4560.6</v>
      </c>
      <c r="F71" s="19" t="s">
        <v>216</v>
      </c>
      <c r="G71" s="40" t="s"/>
      <c r="H71" s="26" t="s"/>
      <c r="I71" s="19" t="s"/>
      <c r="J71" s="19" t="s"/>
      <c r="K71" s="27" t="s"/>
      <c r="L71" s="27" t="s"/>
      <c r="M71" s="27" t="s"/>
    </row>
    <row r="72" spans="1:13">
      <c r="A72" s="19" t="s">
        <v>80</v>
      </c>
      <c r="B72" s="19" t="s">
        <v>79</v>
      </c>
      <c r="C72" s="19" t="s">
        <v>312</v>
      </c>
      <c r="D72" s="25">
        <v>0.2</v>
      </c>
      <c r="E72" s="26">
        <v>231.67</v>
      </c>
      <c r="F72" s="19" t="s">
        <v>161</v>
      </c>
      <c r="G72" s="40" t="s"/>
      <c r="H72" s="26" t="s"/>
      <c r="I72" s="19" t="s"/>
      <c r="J72" s="19" t="s"/>
      <c r="K72" s="27" t="s"/>
      <c r="L72" s="27" t="s"/>
      <c r="M72" s="27" t="s"/>
    </row>
    <row r="73" spans="1:13">
      <c r="A73" s="19" t="s">
        <v>84</v>
      </c>
      <c r="B73" s="19" t="s">
        <v>83</v>
      </c>
      <c r="C73" s="19" t="s">
        <v>161</v>
      </c>
      <c r="D73" s="25">
        <v>0.1</v>
      </c>
      <c r="E73" s="26">
        <v>115.83</v>
      </c>
      <c r="F73" s="19" t="s">
        <v>161</v>
      </c>
      <c r="G73" s="40" t="s"/>
      <c r="H73" s="26" t="s"/>
      <c r="I73" s="19" t="s"/>
      <c r="J73" s="19" t="s"/>
      <c r="K73" s="27" t="s"/>
      <c r="L73" s="27" t="s"/>
      <c r="M73" s="27" t="s"/>
    </row>
    <row r="74" spans="1:13">
      <c r="A74" s="19" t="s">
        <v>318</v>
      </c>
      <c r="B74" s="19" t="s">
        <v>126</v>
      </c>
      <c r="C74" s="19" t="s">
        <v>161</v>
      </c>
      <c r="D74" s="25">
        <v>1</v>
      </c>
      <c r="E74" s="26">
        <v>1158.33</v>
      </c>
      <c r="F74" s="19" t="s">
        <v>161</v>
      </c>
      <c r="G74" s="40" t="s"/>
      <c r="H74" s="26" t="s"/>
      <c r="I74" s="19" t="s"/>
      <c r="J74" s="19" t="s"/>
      <c r="K74" s="27" t="s"/>
      <c r="L74" s="27" t="s"/>
      <c r="M74" s="27" t="s"/>
    </row>
    <row r="75" spans="1:13">
      <c r="A75" s="19" t="s">
        <v>305</v>
      </c>
      <c r="B75" s="19" t="s">
        <v>112</v>
      </c>
      <c r="C75" s="19" t="s">
        <v>297</v>
      </c>
      <c r="D75" s="25">
        <v>0.3</v>
      </c>
      <c r="E75" s="26">
        <v>347.5</v>
      </c>
      <c r="F75" s="19" t="s">
        <v>161</v>
      </c>
      <c r="G75" s="40" t="s"/>
      <c r="H75" s="26" t="s"/>
      <c r="I75" s="19" t="s"/>
      <c r="J75" s="19" t="s"/>
      <c r="K75" s="27" t="s"/>
      <c r="L75" s="27" t="s"/>
      <c r="M75" s="27" t="s"/>
    </row>
    <row r="76" spans="1:13">
      <c r="A76" s="19" t="s">
        <v>109</v>
      </c>
      <c r="B76" s="19" t="s">
        <v>108</v>
      </c>
      <c r="C76" s="19" t="s">
        <v>161</v>
      </c>
      <c r="D76" s="25">
        <v>0.5</v>
      </c>
      <c r="E76" s="26">
        <v>579.17</v>
      </c>
      <c r="F76" s="19" t="s">
        <v>161</v>
      </c>
      <c r="G76" s="40" t="s"/>
      <c r="H76" s="26" t="s"/>
      <c r="I76" s="19" t="s"/>
      <c r="J76" s="19" t="s"/>
      <c r="K76" s="27" t="s"/>
      <c r="L76" s="27" t="s"/>
      <c r="M76" s="27" t="s"/>
    </row>
    <row r="77" spans="1:13">
      <c r="A77" s="19" t="s">
        <v>135</v>
      </c>
      <c r="B77" s="19" t="s">
        <v>134</v>
      </c>
      <c r="C77" s="19" t="s">
        <v>161</v>
      </c>
      <c r="D77" s="25">
        <v>0.2</v>
      </c>
      <c r="E77" s="26">
        <v>231.67</v>
      </c>
      <c r="F77" s="19" t="s">
        <v>161</v>
      </c>
      <c r="G77" s="40" t="s"/>
      <c r="H77" s="26" t="s"/>
      <c r="I77" s="19" t="s"/>
      <c r="J77" s="19" t="s"/>
      <c r="K77" s="27" t="s"/>
      <c r="L77" s="27" t="s"/>
      <c r="M77" s="27" t="s"/>
    </row>
    <row r="78" spans="1:13">
      <c r="A78" s="19" t="s">
        <v>80</v>
      </c>
      <c r="B78" s="19" t="s">
        <v>79</v>
      </c>
      <c r="C78" s="19" t="s">
        <v>312</v>
      </c>
      <c r="D78" s="25">
        <v>2</v>
      </c>
      <c r="E78" s="26">
        <v>1824.24</v>
      </c>
      <c r="F78" s="19" t="s">
        <v>205</v>
      </c>
      <c r="G78" s="40" t="s"/>
      <c r="H78" s="26" t="s"/>
      <c r="I78" s="19" t="s"/>
      <c r="J78" s="19" t="s"/>
      <c r="K78" s="27" t="s"/>
      <c r="L78" s="27" t="s"/>
      <c r="M78" s="27" t="s"/>
    </row>
    <row r="79" spans="1:13">
      <c r="A79" s="19" t="s">
        <v>91</v>
      </c>
      <c r="B79" s="19" t="s">
        <v>90</v>
      </c>
      <c r="C79" s="19" t="s">
        <v>338</v>
      </c>
      <c r="D79" s="25">
        <v>1.5</v>
      </c>
      <c r="E79" s="26">
        <v>1368.18</v>
      </c>
      <c r="F79" s="19" t="s">
        <v>205</v>
      </c>
      <c r="G79" s="40" t="s"/>
      <c r="H79" s="26" t="s"/>
      <c r="I79" s="19" t="s"/>
      <c r="J79" s="19" t="s"/>
      <c r="K79" s="27" t="s"/>
      <c r="L79" s="27" t="s"/>
      <c r="M79" s="27" t="s"/>
    </row>
    <row r="80" spans="1:13">
      <c r="A80" s="19" t="s">
        <v>80</v>
      </c>
      <c r="B80" s="19" t="s">
        <v>79</v>
      </c>
      <c r="C80" s="19" t="s">
        <v>312</v>
      </c>
      <c r="D80" s="25">
        <v>2.5</v>
      </c>
      <c r="E80" s="26">
        <v>2493.38</v>
      </c>
      <c r="F80" s="19" t="s">
        <v>165</v>
      </c>
      <c r="G80" s="40" t="s"/>
      <c r="H80" s="26" t="s"/>
      <c r="I80" s="19" t="s"/>
      <c r="J80" s="19" t="s"/>
      <c r="K80" s="27" t="s"/>
      <c r="L80" s="27" t="s"/>
      <c r="M80" s="27" t="s"/>
    </row>
    <row r="81" spans="1:13">
      <c r="A81" s="19" t="s">
        <v>80</v>
      </c>
      <c r="B81" s="19" t="s">
        <v>79</v>
      </c>
      <c r="C81" s="19" t="s">
        <v>312</v>
      </c>
      <c r="D81" s="25">
        <v>5</v>
      </c>
      <c r="E81" s="26">
        <v>5791.65</v>
      </c>
      <c r="F81" s="19" t="s">
        <v>312</v>
      </c>
      <c r="G81" s="40" t="s"/>
      <c r="H81" s="26" t="s"/>
      <c r="I81" s="19" t="s"/>
      <c r="J81" s="19" t="s"/>
      <c r="K81" s="27" t="s"/>
      <c r="L81" s="27" t="s"/>
      <c r="M81" s="27" t="s"/>
    </row>
    <row r="82" spans="1:13">
      <c r="A82" s="19" t="s">
        <v>340</v>
      </c>
      <c r="B82" s="19" t="s">
        <v>98</v>
      </c>
      <c r="C82" s="19" t="s">
        <v>338</v>
      </c>
      <c r="D82" s="25">
        <v>2.5</v>
      </c>
      <c r="E82" s="26">
        <v>2156.25</v>
      </c>
      <c r="F82" s="19" t="s">
        <v>338</v>
      </c>
      <c r="G82" s="40" t="s"/>
      <c r="H82" s="26" t="s"/>
      <c r="I82" s="19" t="s"/>
      <c r="J82" s="19" t="s"/>
      <c r="K82" s="27" t="s"/>
      <c r="L82" s="27" t="s"/>
      <c r="M82" s="27" t="s"/>
    </row>
    <row r="83" spans="1:13">
      <c r="A83" s="19" t="s">
        <v>91</v>
      </c>
      <c r="B83" s="19" t="s">
        <v>90</v>
      </c>
      <c r="C83" s="19" t="s">
        <v>338</v>
      </c>
      <c r="D83" s="25">
        <v>2.5</v>
      </c>
      <c r="E83" s="26">
        <v>2156.25</v>
      </c>
      <c r="F83" s="19" t="s">
        <v>338</v>
      </c>
      <c r="G83" s="40" t="s"/>
      <c r="H83" s="26" t="s"/>
      <c r="I83" s="19" t="s"/>
      <c r="J83" s="19" t="s"/>
      <c r="K83" s="27" t="s"/>
      <c r="L83" s="27" t="s"/>
      <c r="M83" s="27" t="s"/>
    </row>
    <row r="84" spans="1:13">
      <c r="A84" s="19" t="s">
        <v>80</v>
      </c>
      <c r="B84" s="19" t="s">
        <v>79</v>
      </c>
      <c r="C84" s="19" t="s">
        <v>312</v>
      </c>
      <c r="D84" s="25">
        <v>4.5</v>
      </c>
      <c r="E84" s="26">
        <v>3221.6</v>
      </c>
      <c r="F84" s="19" t="s">
        <v>167</v>
      </c>
      <c r="G84" s="40" t="s"/>
      <c r="H84" s="26" t="s"/>
      <c r="I84" s="19" t="s"/>
      <c r="J84" s="19" t="s"/>
      <c r="K84" s="27" t="s"/>
      <c r="L84" s="27" t="s"/>
      <c r="M84" s="27" t="s"/>
    </row>
    <row r="85" spans="1:13">
      <c r="A85" s="19" t="s">
        <v>80</v>
      </c>
      <c r="B85" s="19" t="s">
        <v>79</v>
      </c>
      <c r="C85" s="19" t="s">
        <v>312</v>
      </c>
      <c r="D85" s="25">
        <v>0.5</v>
      </c>
      <c r="E85" s="26">
        <v>456.06</v>
      </c>
      <c r="F85" s="19" t="s">
        <v>363</v>
      </c>
      <c r="G85" s="40" t="s"/>
      <c r="H85" s="26" t="s"/>
      <c r="I85" s="19" t="s"/>
      <c r="J85" s="19" t="s"/>
      <c r="K85" s="27" t="s"/>
      <c r="L85" s="27" t="s"/>
      <c r="M85" s="27" t="s"/>
    </row>
    <row r="86" spans="1:13">
      <c r="A86" s="19" t="s">
        <v>103</v>
      </c>
      <c r="B86" s="19" t="s">
        <v>102</v>
      </c>
      <c r="C86" s="19" t="s">
        <v>338</v>
      </c>
      <c r="D86" s="25">
        <v>1</v>
      </c>
      <c r="E86" s="26">
        <v>912.12</v>
      </c>
      <c r="F86" s="19" t="s">
        <v>363</v>
      </c>
      <c r="G86" s="40" t="s"/>
      <c r="H86" s="26" t="s"/>
      <c r="I86" s="19" t="s"/>
      <c r="J86" s="19" t="s"/>
      <c r="K86" s="27" t="s"/>
      <c r="L86" s="27" t="s"/>
      <c r="M86" s="27" t="s"/>
    </row>
    <row r="87" spans="1:13">
      <c r="A87" s="19" t="s">
        <v>80</v>
      </c>
      <c r="B87" s="19" t="s">
        <v>79</v>
      </c>
      <c r="C87" s="19" t="s">
        <v>312</v>
      </c>
      <c r="D87" s="25">
        <v>0.5</v>
      </c>
      <c r="E87" s="26">
        <v>456.06</v>
      </c>
      <c r="F87" s="19" t="s">
        <v>363</v>
      </c>
      <c r="G87" s="40" t="s"/>
      <c r="H87" s="26" t="s"/>
      <c r="I87" s="19" t="s"/>
      <c r="J87" s="19" t="s"/>
      <c r="K87" s="27" t="s"/>
      <c r="L87" s="27" t="s"/>
      <c r="M87" s="27" t="s"/>
    </row>
    <row r="88" spans="1:13">
      <c r="A88" s="19" t="s">
        <v>84</v>
      </c>
      <c r="B88" s="19" t="s">
        <v>83</v>
      </c>
      <c r="C88" s="19" t="s">
        <v>161</v>
      </c>
      <c r="D88" s="25">
        <v>0.3</v>
      </c>
      <c r="E88" s="26">
        <v>258.75</v>
      </c>
      <c r="F88" s="19" t="s">
        <v>429</v>
      </c>
      <c r="G88" s="40" t="s"/>
      <c r="H88" s="26" t="s"/>
      <c r="I88" s="19" t="s"/>
      <c r="J88" s="19" t="s"/>
      <c r="K88" s="27" t="s"/>
      <c r="L88" s="27" t="s"/>
      <c r="M88" s="27" t="s"/>
    </row>
    <row r="89" spans="1:13">
      <c r="A89" s="19" t="s">
        <v>107</v>
      </c>
      <c r="B89" s="19" t="s">
        <v>106</v>
      </c>
      <c r="C89" s="19" t="s">
        <v>310</v>
      </c>
      <c r="D89" s="25">
        <v>0.28</v>
      </c>
      <c r="E89" s="26">
        <v>200.45</v>
      </c>
      <c r="F89" s="19" t="s">
        <v>635</v>
      </c>
      <c r="G89" s="40" t="s"/>
      <c r="H89" s="26" t="s"/>
      <c r="I89" s="19" t="s"/>
      <c r="J89" s="19" t="s"/>
      <c r="K89" s="27" t="s"/>
      <c r="L89" s="27" t="s"/>
      <c r="M89" s="27" t="s"/>
    </row>
    <row r="90" spans="1:13">
      <c r="A90" s="19" t="s">
        <v>80</v>
      </c>
      <c r="B90" s="19" t="s">
        <v>79</v>
      </c>
      <c r="C90" s="19" t="s">
        <v>312</v>
      </c>
      <c r="D90" s="25">
        <v>5</v>
      </c>
      <c r="E90" s="26">
        <v>3896.8</v>
      </c>
      <c r="F90" s="19" t="s">
        <v>658</v>
      </c>
      <c r="G90" s="40" t="s"/>
      <c r="H90" s="26" t="s"/>
      <c r="I90" s="19" t="s"/>
      <c r="J90" s="19" t="s"/>
      <c r="K90" s="27" t="s"/>
      <c r="L90" s="27" t="s"/>
      <c r="M90" s="27" t="s"/>
    </row>
    <row r="91" spans="1:13">
      <c r="A91" s="19" t="s">
        <v>80</v>
      </c>
      <c r="B91" s="19" t="s">
        <v>79</v>
      </c>
      <c r="C91" s="19" t="s">
        <v>312</v>
      </c>
      <c r="D91" s="25">
        <v>4.29</v>
      </c>
      <c r="E91" s="26">
        <v>2619.52</v>
      </c>
      <c r="F91" s="19" t="s">
        <v>575</v>
      </c>
      <c r="G91" s="40" t="s"/>
      <c r="H91" s="26" t="s"/>
      <c r="I91" s="19" t="s"/>
      <c r="J91" s="19" t="s"/>
      <c r="K91" s="27" t="s"/>
      <c r="L91" s="27" t="s"/>
      <c r="M91" s="27" t="s"/>
    </row>
    <row r="92" spans="1:13">
      <c r="A92" s="19" t="s">
        <v>80</v>
      </c>
      <c r="B92" s="19" t="s">
        <v>79</v>
      </c>
      <c r="C92" s="19" t="s">
        <v>312</v>
      </c>
      <c r="D92" s="25">
        <v>4.8</v>
      </c>
      <c r="E92" s="26">
        <v>4140</v>
      </c>
      <c r="F92" s="19" t="s">
        <v>528</v>
      </c>
      <c r="G92" s="40" t="s"/>
      <c r="H92" s="26" t="s"/>
      <c r="I92" s="19" t="s"/>
      <c r="J92" s="19" t="s"/>
      <c r="K92" s="27" t="s"/>
      <c r="L92" s="27" t="s"/>
      <c r="M92" s="27" t="s"/>
    </row>
    <row r="93" spans="1:13">
      <c r="A93" s="19" t="s">
        <v>303</v>
      </c>
      <c r="B93" s="19" t="s">
        <v>89</v>
      </c>
      <c r="C93" s="19" t="s">
        <v>297</v>
      </c>
      <c r="D93" s="25">
        <v>0.5</v>
      </c>
      <c r="E93" s="26">
        <v>505.68</v>
      </c>
      <c r="F93" s="19" t="s">
        <v>664</v>
      </c>
      <c r="G93" s="40" t="s"/>
      <c r="H93" s="26" t="s"/>
      <c r="I93" s="19" t="s"/>
      <c r="J93" s="19" t="s"/>
      <c r="K93" s="27" t="s"/>
      <c r="L93" s="27" t="s"/>
      <c r="M93" s="27" t="s"/>
    </row>
    <row r="94" spans="1:13">
      <c r="A94" s="19" t="s">
        <v>303</v>
      </c>
      <c r="B94" s="19" t="s">
        <v>89</v>
      </c>
      <c r="C94" s="19" t="s">
        <v>297</v>
      </c>
      <c r="D94" s="25">
        <v>0.5</v>
      </c>
      <c r="E94" s="26">
        <v>431.25</v>
      </c>
      <c r="F94" s="19" t="s">
        <v>154</v>
      </c>
      <c r="G94" s="40" t="s"/>
      <c r="H94" s="26" t="s"/>
      <c r="I94" s="19" t="s"/>
      <c r="J94" s="19" t="s"/>
      <c r="K94" s="27" t="s"/>
      <c r="L94" s="27" t="s"/>
      <c r="M94" s="27" t="s"/>
    </row>
    <row r="95" spans="1:13">
      <c r="A95" s="19" t="s">
        <v>80</v>
      </c>
      <c r="B95" s="19" t="s">
        <v>79</v>
      </c>
      <c r="C95" s="19" t="s">
        <v>312</v>
      </c>
      <c r="D95" s="25">
        <v>0.3</v>
      </c>
      <c r="E95" s="26">
        <v>258.75</v>
      </c>
      <c r="F95" s="19" t="s">
        <v>154</v>
      </c>
      <c r="G95" s="40" t="s"/>
      <c r="H95" s="26" t="s"/>
      <c r="I95" s="19" t="s"/>
      <c r="J95" s="19" t="s"/>
      <c r="K95" s="27" t="s"/>
      <c r="L95" s="27" t="s"/>
      <c r="M95" s="27" t="s"/>
    </row>
    <row r="96" spans="1:13">
      <c r="A96" s="19" t="s">
        <v>360</v>
      </c>
      <c r="B96" s="19" t="s">
        <v>116</v>
      </c>
      <c r="C96" s="19" t="s">
        <v>338</v>
      </c>
      <c r="D96" s="25">
        <v>1.2</v>
      </c>
      <c r="E96" s="26">
        <v>1035</v>
      </c>
      <c r="F96" s="19" t="s">
        <v>154</v>
      </c>
      <c r="G96" s="40" t="s"/>
      <c r="H96" s="26" t="s"/>
      <c r="I96" s="19" t="s"/>
      <c r="J96" s="19" t="s"/>
      <c r="K96" s="27" t="s"/>
      <c r="L96" s="27" t="s"/>
      <c r="M96" s="27" t="s"/>
    </row>
    <row r="97" spans="1:13">
      <c r="A97" s="19" t="s">
        <v>80</v>
      </c>
      <c r="B97" s="19" t="s">
        <v>79</v>
      </c>
      <c r="C97" s="19" t="s">
        <v>312</v>
      </c>
      <c r="D97" s="25">
        <v>1.5</v>
      </c>
      <c r="E97" s="26">
        <v>1293.75</v>
      </c>
      <c r="F97" s="19" t="s">
        <v>154</v>
      </c>
      <c r="G97" s="40" t="s"/>
      <c r="H97" s="26" t="s"/>
      <c r="I97" s="19" t="s"/>
      <c r="J97" s="19" t="s"/>
      <c r="K97" s="27" t="s"/>
      <c r="L97" s="27" t="s"/>
      <c r="M97" s="27" t="s"/>
    </row>
    <row r="98" spans="1:13">
      <c r="A98" s="19" t="s">
        <v>91</v>
      </c>
      <c r="B98" s="19" t="s">
        <v>90</v>
      </c>
      <c r="C98" s="19" t="s">
        <v>338</v>
      </c>
      <c r="D98" s="25">
        <v>0.5</v>
      </c>
      <c r="E98" s="26">
        <v>431.25</v>
      </c>
      <c r="F98" s="19" t="s">
        <v>154</v>
      </c>
      <c r="G98" s="40" t="s"/>
      <c r="H98" s="26" t="s"/>
      <c r="I98" s="19" t="s"/>
      <c r="J98" s="19" t="s"/>
      <c r="K98" s="27" t="s"/>
      <c r="L98" s="27" t="s"/>
      <c r="M98" s="27" t="s"/>
    </row>
    <row r="99" spans="1:13">
      <c r="A99" s="19" t="s">
        <v>107</v>
      </c>
      <c r="B99" s="19" t="s">
        <v>106</v>
      </c>
      <c r="C99" s="19" t="s">
        <v>310</v>
      </c>
      <c r="D99" s="25">
        <v>0.3</v>
      </c>
      <c r="E99" s="26">
        <v>258.75</v>
      </c>
      <c r="F99" s="19" t="s">
        <v>154</v>
      </c>
      <c r="G99" s="40" t="s"/>
      <c r="H99" s="26" t="s"/>
      <c r="I99" s="19" t="s"/>
      <c r="J99" s="19" t="s"/>
      <c r="K99" s="27" t="s"/>
      <c r="L99" s="27" t="s"/>
      <c r="M99" s="27" t="s"/>
    </row>
    <row r="100" spans="1:13">
      <c r="A100" s="19" t="s">
        <v>80</v>
      </c>
      <c r="B100" s="19" t="s">
        <v>79</v>
      </c>
      <c r="C100" s="19" t="s">
        <v>312</v>
      </c>
      <c r="D100" s="25">
        <v>5</v>
      </c>
      <c r="E100" s="26">
        <v>4312.5</v>
      </c>
      <c r="F100" s="19" t="s">
        <v>592</v>
      </c>
      <c r="G100" s="40" t="s"/>
      <c r="H100" s="26" t="s"/>
      <c r="I100" s="19" t="s"/>
      <c r="J100" s="19" t="s"/>
      <c r="K100" s="27" t="s"/>
      <c r="L100" s="27" t="s"/>
      <c r="M100" s="27" t="s"/>
    </row>
    <row r="101" spans="1:13">
      <c r="A101" s="19" t="s">
        <v>80</v>
      </c>
      <c r="B101" s="19" t="s">
        <v>79</v>
      </c>
      <c r="C101" s="19" t="s">
        <v>312</v>
      </c>
      <c r="D101" s="25">
        <v>3.5</v>
      </c>
      <c r="E101" s="26">
        <v>3539.76</v>
      </c>
      <c r="F101" s="19" t="s">
        <v>578</v>
      </c>
      <c r="G101" s="40" t="s"/>
      <c r="H101" s="26" t="s"/>
      <c r="I101" s="19" t="s"/>
      <c r="J101" s="19" t="s"/>
      <c r="K101" s="27" t="s"/>
      <c r="L101" s="27" t="s"/>
      <c r="M101" s="27" t="s"/>
    </row>
    <row r="102" spans="1:13">
      <c r="A102" s="19" t="s">
        <v>80</v>
      </c>
      <c r="B102" s="19" t="s">
        <v>79</v>
      </c>
      <c r="C102" s="19" t="s">
        <v>312</v>
      </c>
      <c r="D102" s="25">
        <v>0.5</v>
      </c>
      <c r="E102" s="26">
        <v>357.96</v>
      </c>
      <c r="F102" s="19" t="s">
        <v>667</v>
      </c>
      <c r="G102" s="40" t="s"/>
      <c r="H102" s="26" t="s"/>
      <c r="I102" s="19" t="s"/>
      <c r="J102" s="19" t="s"/>
      <c r="K102" s="27" t="s"/>
      <c r="L102" s="27" t="s"/>
      <c r="M102" s="27" t="s"/>
    </row>
    <row r="103" spans="1:13">
      <c r="A103" s="19" t="s">
        <v>80</v>
      </c>
      <c r="B103" s="19" t="s">
        <v>79</v>
      </c>
      <c r="C103" s="19" t="s">
        <v>312</v>
      </c>
      <c r="D103" s="25">
        <v>2</v>
      </c>
      <c r="E103" s="26">
        <v>1558.72</v>
      </c>
      <c r="F103" s="19" t="s">
        <v>562</v>
      </c>
      <c r="G103" s="40" t="s"/>
      <c r="H103" s="26" t="s"/>
      <c r="I103" s="19" t="s"/>
      <c r="J103" s="19" t="s"/>
      <c r="K103" s="27" t="s"/>
      <c r="L103" s="27" t="s"/>
      <c r="M103" s="27" t="s"/>
    </row>
    <row r="104" spans="1:13">
      <c r="A104" s="19" t="s">
        <v>360</v>
      </c>
      <c r="B104" s="19" t="s">
        <v>116</v>
      </c>
      <c r="C104" s="19" t="s">
        <v>338</v>
      </c>
      <c r="D104" s="25">
        <v>3</v>
      </c>
      <c r="E104" s="26">
        <v>2338.08</v>
      </c>
      <c r="F104" s="19" t="s">
        <v>562</v>
      </c>
      <c r="G104" s="40" t="s"/>
      <c r="H104" s="26" t="s"/>
      <c r="I104" s="19" t="s"/>
      <c r="J104" s="19" t="s"/>
      <c r="K104" s="27" t="s"/>
      <c r="L104" s="27" t="s"/>
      <c r="M104" s="27" t="s"/>
    </row>
    <row r="105" spans="1:13">
      <c r="A105" s="19" t="s">
        <v>86</v>
      </c>
      <c r="B105" s="19" t="s">
        <v>85</v>
      </c>
      <c r="C105" s="19" t="s">
        <v>297</v>
      </c>
      <c r="D105" s="25">
        <v>3.3</v>
      </c>
      <c r="E105" s="26">
        <v>2571.89</v>
      </c>
      <c r="F105" s="19" t="s">
        <v>648</v>
      </c>
      <c r="G105" s="40" t="s"/>
      <c r="H105" s="26" t="s"/>
      <c r="I105" s="19" t="s"/>
      <c r="J105" s="19" t="s"/>
      <c r="K105" s="27" t="s"/>
      <c r="L105" s="27" t="s"/>
      <c r="M105" s="27" t="s"/>
    </row>
    <row r="106" spans="1:13">
      <c r="A106" s="19" t="s">
        <v>86</v>
      </c>
      <c r="B106" s="19" t="s">
        <v>85</v>
      </c>
      <c r="C106" s="19" t="s">
        <v>297</v>
      </c>
      <c r="D106" s="25">
        <v>5</v>
      </c>
      <c r="E106" s="26">
        <v>3053.05</v>
      </c>
      <c r="F106" s="19" t="s">
        <v>655</v>
      </c>
      <c r="G106" s="40" t="s"/>
      <c r="H106" s="26" t="s"/>
      <c r="I106" s="19" t="s"/>
      <c r="J106" s="19" t="s"/>
      <c r="K106" s="27" t="s"/>
      <c r="L106" s="27" t="s"/>
      <c r="M106" s="27" t="s"/>
    </row>
    <row r="107" spans="1:13">
      <c r="A107" s="19" t="s">
        <v>121</v>
      </c>
      <c r="B107" s="19" t="s">
        <v>120</v>
      </c>
      <c r="C107" s="19" t="s">
        <v>297</v>
      </c>
      <c r="D107" s="25">
        <v>1</v>
      </c>
      <c r="E107" s="26">
        <v>862.5</v>
      </c>
      <c r="F107" s="19" t="s">
        <v>297</v>
      </c>
      <c r="G107" s="40" t="s"/>
      <c r="H107" s="26" t="s"/>
      <c r="I107" s="19" t="s"/>
      <c r="J107" s="19" t="s"/>
      <c r="K107" s="27" t="s"/>
      <c r="L107" s="27" t="s"/>
      <c r="M107" s="27" t="s"/>
    </row>
    <row r="108" spans="1:13">
      <c r="A108" s="19" t="s">
        <v>303</v>
      </c>
      <c r="B108" s="19" t="s">
        <v>89</v>
      </c>
      <c r="C108" s="19" t="s">
        <v>297</v>
      </c>
      <c r="D108" s="25">
        <v>0.7</v>
      </c>
      <c r="E108" s="26">
        <v>603.75</v>
      </c>
      <c r="F108" s="19" t="s">
        <v>297</v>
      </c>
      <c r="G108" s="40" t="s"/>
      <c r="H108" s="26" t="s"/>
      <c r="I108" s="19" t="s"/>
      <c r="J108" s="19" t="s"/>
      <c r="K108" s="27" t="s"/>
      <c r="L108" s="27" t="s"/>
      <c r="M108" s="27" t="s"/>
    </row>
    <row r="109" spans="1:13">
      <c r="A109" s="19" t="s">
        <v>86</v>
      </c>
      <c r="B109" s="19" t="s">
        <v>85</v>
      </c>
      <c r="C109" s="19" t="s">
        <v>297</v>
      </c>
      <c r="D109" s="25">
        <v>0.3</v>
      </c>
      <c r="E109" s="26">
        <v>258.75</v>
      </c>
      <c r="F109" s="19" t="s">
        <v>297</v>
      </c>
      <c r="G109" s="40" t="s"/>
      <c r="H109" s="26" t="s"/>
      <c r="I109" s="19" t="s"/>
      <c r="J109" s="19" t="s"/>
      <c r="K109" s="27" t="s"/>
      <c r="L109" s="27" t="s"/>
      <c r="M109" s="27" t="s"/>
    </row>
    <row r="110" spans="1:13">
      <c r="A110" s="19" t="s">
        <v>305</v>
      </c>
      <c r="B110" s="19" t="s">
        <v>112</v>
      </c>
      <c r="C110" s="19" t="s">
        <v>297</v>
      </c>
      <c r="D110" s="25">
        <v>1</v>
      </c>
      <c r="E110" s="26">
        <v>862.5</v>
      </c>
      <c r="F110" s="19" t="s">
        <v>297</v>
      </c>
      <c r="G110" s="40" t="s"/>
      <c r="H110" s="26" t="s"/>
      <c r="I110" s="19" t="s"/>
      <c r="J110" s="19" t="s"/>
      <c r="K110" s="27" t="s"/>
      <c r="L110" s="27" t="s"/>
      <c r="M110" s="27" t="s"/>
    </row>
    <row r="111" spans="1:13">
      <c r="A111" s="19" t="s">
        <v>300</v>
      </c>
      <c r="B111" s="19" t="s">
        <v>100</v>
      </c>
      <c r="C111" s="19" t="s">
        <v>297</v>
      </c>
      <c r="D111" s="25">
        <v>1.5</v>
      </c>
      <c r="E111" s="26">
        <v>1293.75</v>
      </c>
      <c r="F111" s="19" t="s">
        <v>297</v>
      </c>
      <c r="G111" s="40" t="s"/>
      <c r="H111" s="26" t="s"/>
      <c r="I111" s="19" t="s"/>
      <c r="J111" s="19" t="s"/>
      <c r="K111" s="27" t="s"/>
      <c r="L111" s="27" t="s"/>
      <c r="M111" s="27" t="s"/>
    </row>
    <row r="112" spans="1:13">
      <c r="A112" s="19" t="s">
        <v>307</v>
      </c>
      <c r="B112" s="19" t="s">
        <v>96</v>
      </c>
      <c r="C112" s="19" t="s">
        <v>297</v>
      </c>
      <c r="D112" s="25">
        <v>0.5</v>
      </c>
      <c r="E112" s="26">
        <v>431.25</v>
      </c>
      <c r="F112" s="19" t="s">
        <v>297</v>
      </c>
      <c r="G112" s="40" t="s"/>
      <c r="H112" s="26" t="s"/>
      <c r="I112" s="19" t="s"/>
      <c r="J112" s="19" t="s"/>
      <c r="K112" s="27" t="s"/>
      <c r="L112" s="27" t="s"/>
      <c r="M112" s="27" t="s"/>
    </row>
    <row r="113" spans="1:13">
      <c r="A113" s="19" t="s">
        <v>107</v>
      </c>
      <c r="B113" s="19" t="s">
        <v>106</v>
      </c>
      <c r="C113" s="19" t="s">
        <v>310</v>
      </c>
      <c r="D113" s="25">
        <v>5</v>
      </c>
      <c r="E113" s="26">
        <v>2602.25</v>
      </c>
      <c r="F113" s="19" t="s">
        <v>211</v>
      </c>
      <c r="G113" s="40" t="s"/>
      <c r="H113" s="26" t="s"/>
      <c r="I113" s="19" t="s"/>
      <c r="J113" s="19" t="s"/>
      <c r="K113" s="27" t="s"/>
      <c r="L113" s="27" t="s"/>
      <c r="M113" s="27" t="s"/>
    </row>
    <row r="114" spans="1:13">
      <c r="A114" s="19" t="s">
        <v>309</v>
      </c>
      <c r="B114" s="19" t="s">
        <v>118</v>
      </c>
      <c r="C114" s="19" t="s">
        <v>310</v>
      </c>
      <c r="D114" s="25">
        <v>5</v>
      </c>
      <c r="E114" s="26">
        <v>2602.25</v>
      </c>
      <c r="F114" s="19" t="s">
        <v>310</v>
      </c>
      <c r="G114" s="40" t="s"/>
      <c r="H114" s="26" t="s"/>
      <c r="I114" s="19" t="s"/>
      <c r="J114" s="19" t="s"/>
      <c r="K114" s="27" t="s"/>
      <c r="L114" s="27" t="s"/>
      <c r="M114" s="27" t="s"/>
    </row>
    <row r="115" spans="1:13">
      <c r="A115" s="19" t="s">
        <v>80</v>
      </c>
      <c r="B115" s="19" t="s">
        <v>79</v>
      </c>
      <c r="C115" s="19" t="s">
        <v>312</v>
      </c>
      <c r="D115" s="25">
        <v>1</v>
      </c>
      <c r="E115" s="26">
        <v>1428.03</v>
      </c>
      <c r="F115" s="19" t="s">
        <v>158</v>
      </c>
      <c r="G115" s="40" t="s"/>
      <c r="H115" s="26" t="s"/>
      <c r="I115" s="19" t="s"/>
      <c r="J115" s="19" t="s"/>
      <c r="K115" s="27" t="s"/>
      <c r="L115" s="27" t="s"/>
      <c r="M115" s="27" t="s"/>
    </row>
    <row r="116" spans="1:13">
      <c r="A116" s="19" t="s">
        <v>80</v>
      </c>
      <c r="B116" s="19" t="s">
        <v>79</v>
      </c>
      <c r="C116" s="19" t="s">
        <v>312</v>
      </c>
      <c r="D116" s="25">
        <v>2</v>
      </c>
      <c r="E116" s="26">
        <v>1824.24</v>
      </c>
      <c r="F116" s="19" t="s">
        <v>216</v>
      </c>
      <c r="G116" s="40" t="s"/>
      <c r="H116" s="26" t="s"/>
      <c r="I116" s="19" t="s"/>
      <c r="J116" s="19" t="s"/>
      <c r="K116" s="27" t="s"/>
      <c r="L116" s="27" t="s"/>
      <c r="M116" s="27" t="s"/>
    </row>
    <row r="117" spans="1:13">
      <c r="A117" s="19" t="s">
        <v>318</v>
      </c>
      <c r="B117" s="19" t="s">
        <v>126</v>
      </c>
      <c r="C117" s="19" t="s">
        <v>161</v>
      </c>
      <c r="D117" s="25">
        <v>0.7</v>
      </c>
      <c r="E117" s="26">
        <v>810.83</v>
      </c>
      <c r="F117" s="19" t="s">
        <v>161</v>
      </c>
      <c r="G117" s="40" t="s"/>
      <c r="H117" s="26" t="s"/>
      <c r="I117" s="19" t="s"/>
      <c r="J117" s="19" t="s"/>
      <c r="K117" s="27" t="s"/>
      <c r="L117" s="27" t="s"/>
      <c r="M117" s="27" t="s"/>
    </row>
    <row r="118" spans="1:13">
      <c r="A118" s="19" t="s">
        <v>80</v>
      </c>
      <c r="B118" s="19" t="s">
        <v>79</v>
      </c>
      <c r="C118" s="19" t="s">
        <v>312</v>
      </c>
      <c r="D118" s="25">
        <v>3</v>
      </c>
      <c r="E118" s="26">
        <v>2736.36</v>
      </c>
      <c r="F118" s="19" t="s">
        <v>205</v>
      </c>
      <c r="G118" s="40" t="s"/>
      <c r="H118" s="26" t="s"/>
      <c r="I118" s="19" t="s"/>
      <c r="J118" s="19" t="s"/>
      <c r="K118" s="27" t="s"/>
      <c r="L118" s="27" t="s"/>
      <c r="M118" s="27" t="s"/>
    </row>
    <row r="119" spans="1:13">
      <c r="A119" s="19" t="s">
        <v>318</v>
      </c>
      <c r="B119" s="19" t="s">
        <v>126</v>
      </c>
      <c r="C119" s="19" t="s">
        <v>161</v>
      </c>
      <c r="D119" s="25">
        <v>1</v>
      </c>
      <c r="E119" s="26">
        <v>912.12</v>
      </c>
      <c r="F119" s="19" t="s">
        <v>205</v>
      </c>
      <c r="G119" s="40" t="s"/>
      <c r="H119" s="26" t="s"/>
      <c r="I119" s="19" t="s"/>
      <c r="J119" s="19" t="s"/>
      <c r="K119" s="27" t="s"/>
      <c r="L119" s="27" t="s"/>
      <c r="M119" s="27" t="s"/>
    </row>
    <row r="120" spans="1:13">
      <c r="A120" s="19" t="s">
        <v>80</v>
      </c>
      <c r="B120" s="19" t="s">
        <v>79</v>
      </c>
      <c r="C120" s="19" t="s">
        <v>312</v>
      </c>
      <c r="D120" s="25">
        <v>1</v>
      </c>
      <c r="E120" s="26">
        <v>997.35</v>
      </c>
      <c r="F120" s="19" t="s">
        <v>165</v>
      </c>
      <c r="G120" s="40" t="s"/>
      <c r="H120" s="26" t="s"/>
      <c r="I120" s="19" t="s"/>
      <c r="J120" s="19" t="s"/>
      <c r="K120" s="27" t="s"/>
      <c r="L120" s="27" t="s"/>
      <c r="M120" s="27" t="s"/>
    </row>
    <row r="121" spans="1:13">
      <c r="A121" s="19" t="s">
        <v>80</v>
      </c>
      <c r="B121" s="19" t="s">
        <v>79</v>
      </c>
      <c r="C121" s="19" t="s">
        <v>312</v>
      </c>
      <c r="D121" s="25">
        <v>3</v>
      </c>
      <c r="E121" s="26">
        <v>3474.99</v>
      </c>
      <c r="F121" s="19" t="s">
        <v>312</v>
      </c>
      <c r="G121" s="40" t="s"/>
      <c r="H121" s="26" t="s"/>
      <c r="I121" s="19" t="s"/>
      <c r="J121" s="19" t="s"/>
      <c r="K121" s="27" t="s"/>
      <c r="L121" s="27" t="s"/>
      <c r="M121" s="27" t="s"/>
    </row>
    <row r="122" spans="1:13">
      <c r="A122" s="19" t="s">
        <v>77</v>
      </c>
      <c r="B122" s="19" t="s">
        <v>76</v>
      </c>
      <c r="C122" s="19" t="s">
        <v>312</v>
      </c>
      <c r="D122" s="25">
        <v>2</v>
      </c>
      <c r="E122" s="26">
        <v>2316.66</v>
      </c>
      <c r="F122" s="19" t="s">
        <v>312</v>
      </c>
      <c r="G122" s="40" t="s"/>
      <c r="H122" s="26" t="s"/>
      <c r="I122" s="19" t="s"/>
      <c r="J122" s="19" t="s"/>
      <c r="K122" s="27" t="s"/>
      <c r="L122" s="27" t="s"/>
      <c r="M122" s="27" t="s"/>
    </row>
    <row r="123" spans="1:13">
      <c r="A123" s="19" t="s">
        <v>91</v>
      </c>
      <c r="B123" s="19" t="s">
        <v>90</v>
      </c>
      <c r="C123" s="19" t="s">
        <v>338</v>
      </c>
      <c r="D123" s="25">
        <v>2.5</v>
      </c>
      <c r="E123" s="26">
        <v>2156.25</v>
      </c>
      <c r="F123" s="19" t="s">
        <v>338</v>
      </c>
      <c r="G123" s="40" t="s"/>
      <c r="H123" s="26" t="s"/>
      <c r="I123" s="19" t="s"/>
      <c r="J123" s="19" t="s"/>
      <c r="K123" s="27" t="s"/>
      <c r="L123" s="27" t="s"/>
      <c r="M123" s="27" t="s"/>
    </row>
    <row r="124" spans="1:13">
      <c r="A124" s="19" t="s">
        <v>340</v>
      </c>
      <c r="B124" s="19" t="s">
        <v>98</v>
      </c>
      <c r="C124" s="19" t="s">
        <v>338</v>
      </c>
      <c r="D124" s="25">
        <v>2.5</v>
      </c>
      <c r="E124" s="26">
        <v>2156.25</v>
      </c>
      <c r="F124" s="19" t="s">
        <v>338</v>
      </c>
      <c r="G124" s="40" t="s"/>
      <c r="H124" s="26" t="s"/>
      <c r="I124" s="19" t="s"/>
      <c r="J124" s="19" t="s"/>
      <c r="K124" s="27" t="s"/>
      <c r="L124" s="27" t="s"/>
      <c r="M124" s="27" t="s"/>
    </row>
    <row r="125" spans="1:13">
      <c r="A125" s="19" t="s">
        <v>80</v>
      </c>
      <c r="B125" s="19" t="s">
        <v>79</v>
      </c>
      <c r="C125" s="19" t="s">
        <v>312</v>
      </c>
      <c r="D125" s="25">
        <v>4.3</v>
      </c>
      <c r="E125" s="26">
        <v>3078.41</v>
      </c>
      <c r="F125" s="19" t="s">
        <v>167</v>
      </c>
      <c r="G125" s="40" t="s"/>
      <c r="H125" s="26" t="s"/>
      <c r="I125" s="19" t="s"/>
      <c r="J125" s="19" t="s"/>
      <c r="K125" s="27" t="s"/>
      <c r="L125" s="27" t="s"/>
      <c r="M125" s="27" t="s"/>
    </row>
    <row r="126" spans="1:13">
      <c r="A126" s="19" t="s">
        <v>309</v>
      </c>
      <c r="B126" s="19" t="s">
        <v>118</v>
      </c>
      <c r="C126" s="19" t="s">
        <v>310</v>
      </c>
      <c r="D126" s="25">
        <v>0.5</v>
      </c>
      <c r="E126" s="26">
        <v>357.96</v>
      </c>
      <c r="F126" s="19" t="s">
        <v>167</v>
      </c>
      <c r="G126" s="40" t="s"/>
      <c r="H126" s="26" t="s"/>
      <c r="I126" s="19" t="s"/>
      <c r="J126" s="19" t="s"/>
      <c r="K126" s="27" t="s"/>
      <c r="L126" s="27" t="s"/>
      <c r="M126" s="27" t="s"/>
    </row>
    <row r="127" spans="1:13">
      <c r="A127" s="19" t="s">
        <v>80</v>
      </c>
      <c r="B127" s="19" t="s">
        <v>79</v>
      </c>
      <c r="C127" s="19" t="s">
        <v>312</v>
      </c>
      <c r="D127" s="25">
        <v>0.5</v>
      </c>
      <c r="E127" s="26">
        <v>305.31</v>
      </c>
      <c r="F127" s="19" t="s">
        <v>589</v>
      </c>
      <c r="G127" s="40" t="s"/>
      <c r="H127" s="26" t="s"/>
      <c r="I127" s="19" t="s"/>
      <c r="J127" s="19" t="s"/>
      <c r="K127" s="27" t="s"/>
      <c r="L127" s="27" t="s"/>
      <c r="M127" s="27" t="s"/>
    </row>
    <row r="128" spans="1:13">
      <c r="A128" s="19" t="s">
        <v>303</v>
      </c>
      <c r="B128" s="19" t="s">
        <v>89</v>
      </c>
      <c r="C128" s="19" t="s">
        <v>297</v>
      </c>
      <c r="D128" s="25">
        <v>2.5</v>
      </c>
      <c r="E128" s="26">
        <v>1526.53</v>
      </c>
      <c r="F128" s="19" t="s">
        <v>589</v>
      </c>
      <c r="G128" s="40" t="s"/>
      <c r="H128" s="26" t="s"/>
      <c r="I128" s="19" t="s"/>
      <c r="J128" s="19" t="s"/>
      <c r="K128" s="27" t="s"/>
      <c r="L128" s="27" t="s"/>
      <c r="M128" s="27" t="s"/>
    </row>
    <row r="129" spans="1:13">
      <c r="A129" s="19" t="s">
        <v>303</v>
      </c>
      <c r="B129" s="19" t="s">
        <v>89</v>
      </c>
      <c r="C129" s="19" t="s">
        <v>297</v>
      </c>
      <c r="D129" s="25">
        <v>0.5</v>
      </c>
      <c r="E129" s="26">
        <v>456.06</v>
      </c>
      <c r="F129" s="19" t="s">
        <v>363</v>
      </c>
      <c r="G129" s="40" t="s"/>
      <c r="H129" s="26" t="s"/>
      <c r="I129" s="19" t="s"/>
      <c r="J129" s="19" t="s"/>
      <c r="K129" s="27" t="s"/>
      <c r="L129" s="27" t="s"/>
      <c r="M129" s="27" t="s"/>
    </row>
    <row r="130" spans="1:13">
      <c r="A130" s="19" t="s">
        <v>80</v>
      </c>
      <c r="B130" s="19" t="s">
        <v>79</v>
      </c>
      <c r="C130" s="19" t="s">
        <v>312</v>
      </c>
      <c r="D130" s="25">
        <v>1</v>
      </c>
      <c r="E130" s="26">
        <v>912.12</v>
      </c>
      <c r="F130" s="19" t="s">
        <v>363</v>
      </c>
      <c r="G130" s="40" t="s"/>
      <c r="H130" s="26" t="s"/>
      <c r="I130" s="19" t="s"/>
      <c r="J130" s="19" t="s"/>
      <c r="K130" s="27" t="s"/>
      <c r="L130" s="27" t="s"/>
      <c r="M130" s="27" t="s"/>
    </row>
    <row r="131" spans="1:13">
      <c r="A131" s="19" t="s">
        <v>135</v>
      </c>
      <c r="B131" s="19" t="s">
        <v>134</v>
      </c>
      <c r="C131" s="19" t="s">
        <v>161</v>
      </c>
      <c r="D131" s="25">
        <v>0.7</v>
      </c>
      <c r="E131" s="26">
        <v>603.75</v>
      </c>
      <c r="F131" s="19" t="s">
        <v>429</v>
      </c>
      <c r="G131" s="40" t="s"/>
      <c r="H131" s="26" t="s"/>
      <c r="I131" s="19" t="s"/>
      <c r="J131" s="19" t="s"/>
      <c r="K131" s="27" t="s"/>
      <c r="L131" s="27" t="s"/>
      <c r="M131" s="27" t="s"/>
    </row>
    <row r="132" spans="1:13">
      <c r="A132" s="19" t="s">
        <v>109</v>
      </c>
      <c r="B132" s="19" t="s">
        <v>108</v>
      </c>
      <c r="C132" s="19" t="s">
        <v>161</v>
      </c>
      <c r="D132" s="25">
        <v>1</v>
      </c>
      <c r="E132" s="26">
        <v>715.91</v>
      </c>
      <c r="F132" s="19" t="s">
        <v>635</v>
      </c>
      <c r="G132" s="40" t="s"/>
      <c r="H132" s="26" t="s"/>
      <c r="I132" s="19" t="s"/>
      <c r="J132" s="19" t="s"/>
      <c r="K132" s="27" t="s"/>
      <c r="L132" s="27" t="s"/>
      <c r="M132" s="27" t="s"/>
    </row>
    <row r="133" spans="1:13">
      <c r="A133" s="19" t="s">
        <v>107</v>
      </c>
      <c r="B133" s="19" t="s">
        <v>106</v>
      </c>
      <c r="C133" s="19" t="s">
        <v>310</v>
      </c>
      <c r="D133" s="25">
        <v>0.25</v>
      </c>
      <c r="E133" s="26">
        <v>178.98</v>
      </c>
      <c r="F133" s="19" t="s">
        <v>635</v>
      </c>
      <c r="G133" s="40" t="s"/>
      <c r="H133" s="26" t="s"/>
      <c r="I133" s="19" t="s"/>
      <c r="J133" s="19" t="s"/>
      <c r="K133" s="27" t="s"/>
      <c r="L133" s="27" t="s"/>
      <c r="M133" s="27" t="s"/>
    </row>
    <row r="134" spans="1:13">
      <c r="A134" s="19" t="s">
        <v>80</v>
      </c>
      <c r="B134" s="19" t="s">
        <v>79</v>
      </c>
      <c r="C134" s="19" t="s">
        <v>312</v>
      </c>
      <c r="D134" s="25">
        <v>5</v>
      </c>
      <c r="E134" s="26">
        <v>3896.8</v>
      </c>
      <c r="F134" s="19" t="s">
        <v>658</v>
      </c>
      <c r="G134" s="40" t="s"/>
      <c r="H134" s="26" t="s"/>
      <c r="I134" s="19" t="s"/>
      <c r="J134" s="19" t="s"/>
      <c r="K134" s="27" t="s"/>
      <c r="L134" s="27" t="s"/>
      <c r="M134" s="27" t="s"/>
    </row>
    <row r="135" spans="1:13">
      <c r="A135" s="19" t="s">
        <v>91</v>
      </c>
      <c r="B135" s="19" t="s">
        <v>90</v>
      </c>
      <c r="C135" s="19" t="s">
        <v>338</v>
      </c>
      <c r="D135" s="25">
        <v>1.43</v>
      </c>
      <c r="E135" s="26">
        <v>873.17</v>
      </c>
      <c r="F135" s="19" t="s">
        <v>575</v>
      </c>
      <c r="G135" s="40" t="s"/>
      <c r="H135" s="26" t="s"/>
      <c r="I135" s="19" t="s"/>
      <c r="J135" s="19" t="s"/>
      <c r="K135" s="27" t="s"/>
      <c r="L135" s="27" t="s"/>
      <c r="M135" s="27" t="s"/>
    </row>
    <row r="136" spans="1:13">
      <c r="A136" s="19" t="s">
        <v>80</v>
      </c>
      <c r="B136" s="19" t="s">
        <v>79</v>
      </c>
      <c r="C136" s="19" t="s">
        <v>312</v>
      </c>
      <c r="D136" s="25">
        <v>3.5</v>
      </c>
      <c r="E136" s="26">
        <v>3018.75</v>
      </c>
      <c r="F136" s="19" t="s">
        <v>528</v>
      </c>
      <c r="G136" s="40" t="s"/>
      <c r="H136" s="26" t="s"/>
      <c r="I136" s="19" t="s"/>
      <c r="J136" s="19" t="s"/>
      <c r="K136" s="27" t="s"/>
      <c r="L136" s="27" t="s"/>
      <c r="M136" s="27" t="s"/>
    </row>
    <row r="137" spans="1:13">
      <c r="A137" s="19" t="s">
        <v>107</v>
      </c>
      <c r="B137" s="19" t="s">
        <v>106</v>
      </c>
      <c r="C137" s="19" t="s">
        <v>310</v>
      </c>
      <c r="D137" s="25">
        <v>3.5</v>
      </c>
      <c r="E137" s="26">
        <v>3539.76</v>
      </c>
      <c r="F137" s="19" t="s">
        <v>686</v>
      </c>
      <c r="G137" s="40" t="s"/>
      <c r="H137" s="26" t="s"/>
      <c r="I137" s="19" t="s"/>
      <c r="J137" s="19" t="s"/>
      <c r="K137" s="27" t="s"/>
      <c r="L137" s="27" t="s"/>
      <c r="M137" s="27" t="s"/>
    </row>
    <row r="138" spans="1:13">
      <c r="A138" s="19" t="s">
        <v>80</v>
      </c>
      <c r="B138" s="19" t="s">
        <v>79</v>
      </c>
      <c r="C138" s="19" t="s">
        <v>312</v>
      </c>
      <c r="D138" s="25">
        <v>0.5</v>
      </c>
      <c r="E138" s="26">
        <v>431.25</v>
      </c>
      <c r="F138" s="19" t="s">
        <v>154</v>
      </c>
      <c r="G138" s="40" t="s"/>
      <c r="H138" s="26" t="s"/>
      <c r="I138" s="19" t="s"/>
      <c r="J138" s="19" t="s"/>
      <c r="K138" s="27" t="s"/>
      <c r="L138" s="27" t="s"/>
      <c r="M138" s="27" t="s"/>
    </row>
    <row r="139" spans="1:13">
      <c r="A139" s="19" t="s">
        <v>303</v>
      </c>
      <c r="B139" s="19" t="s">
        <v>89</v>
      </c>
      <c r="C139" s="19" t="s">
        <v>297</v>
      </c>
      <c r="D139" s="25">
        <v>0.5</v>
      </c>
      <c r="E139" s="26">
        <v>431.25</v>
      </c>
      <c r="F139" s="19" t="s">
        <v>154</v>
      </c>
      <c r="G139" s="40" t="s"/>
      <c r="H139" s="26" t="s"/>
      <c r="I139" s="19" t="s"/>
      <c r="J139" s="19" t="s"/>
      <c r="K139" s="27" t="s"/>
      <c r="L139" s="27" t="s"/>
      <c r="M139" s="27" t="s"/>
    </row>
    <row r="140" spans="1:13">
      <c r="A140" s="19" t="s">
        <v>91</v>
      </c>
      <c r="B140" s="19" t="s">
        <v>90</v>
      </c>
      <c r="C140" s="19" t="s">
        <v>338</v>
      </c>
      <c r="D140" s="25">
        <v>2.5</v>
      </c>
      <c r="E140" s="26">
        <v>2156.25</v>
      </c>
      <c r="F140" s="19" t="s">
        <v>154</v>
      </c>
      <c r="G140" s="40" t="s"/>
      <c r="H140" s="26" t="s"/>
      <c r="I140" s="19" t="s"/>
      <c r="J140" s="19" t="s"/>
      <c r="K140" s="27" t="s"/>
      <c r="L140" s="27" t="s"/>
      <c r="M140" s="27" t="s"/>
    </row>
    <row r="141" spans="1:13">
      <c r="A141" s="19" t="s">
        <v>360</v>
      </c>
      <c r="B141" s="19" t="s">
        <v>116</v>
      </c>
      <c r="C141" s="19" t="s">
        <v>338</v>
      </c>
      <c r="D141" s="25">
        <v>0.5</v>
      </c>
      <c r="E141" s="26">
        <v>431.25</v>
      </c>
      <c r="F141" s="19" t="s">
        <v>154</v>
      </c>
      <c r="G141" s="40" t="s"/>
      <c r="H141" s="26" t="s"/>
      <c r="I141" s="19" t="s"/>
      <c r="J141" s="19" t="s"/>
      <c r="K141" s="27" t="s"/>
      <c r="L141" s="27" t="s"/>
      <c r="M141" s="27" t="s"/>
    </row>
    <row r="142" spans="1:13">
      <c r="A142" s="19" t="s">
        <v>80</v>
      </c>
      <c r="B142" s="19" t="s">
        <v>79</v>
      </c>
      <c r="C142" s="19" t="s">
        <v>312</v>
      </c>
      <c r="D142" s="25">
        <v>5</v>
      </c>
      <c r="E142" s="26">
        <v>4312.5</v>
      </c>
      <c r="F142" s="19" t="s">
        <v>592</v>
      </c>
      <c r="G142" s="40" t="s"/>
      <c r="H142" s="26" t="s"/>
      <c r="I142" s="19" t="s"/>
      <c r="J142" s="19" t="s"/>
      <c r="K142" s="27" t="s"/>
      <c r="L142" s="27" t="s"/>
      <c r="M142" s="27" t="s"/>
    </row>
    <row r="143" spans="1:13">
      <c r="A143" s="19" t="s">
        <v>91</v>
      </c>
      <c r="B143" s="19" t="s">
        <v>90</v>
      </c>
      <c r="C143" s="19" t="s">
        <v>338</v>
      </c>
      <c r="D143" s="25">
        <v>1</v>
      </c>
      <c r="E143" s="26">
        <v>715.91</v>
      </c>
      <c r="F143" s="19" t="s">
        <v>667</v>
      </c>
      <c r="G143" s="40" t="s"/>
      <c r="H143" s="26" t="s"/>
      <c r="I143" s="19" t="s"/>
      <c r="J143" s="19" t="s"/>
      <c r="K143" s="27" t="s"/>
      <c r="L143" s="27" t="s"/>
      <c r="M143" s="27" t="s"/>
    </row>
    <row r="144" spans="1:13">
      <c r="A144" s="19" t="s">
        <v>80</v>
      </c>
      <c r="B144" s="19" t="s">
        <v>79</v>
      </c>
      <c r="C144" s="19" t="s">
        <v>312</v>
      </c>
      <c r="D144" s="25">
        <v>5</v>
      </c>
      <c r="E144" s="26">
        <v>3896.8</v>
      </c>
      <c r="F144" s="19" t="s">
        <v>562</v>
      </c>
      <c r="G144" s="40" t="s"/>
      <c r="H144" s="26" t="s"/>
      <c r="I144" s="19" t="s"/>
      <c r="J144" s="19" t="s"/>
      <c r="K144" s="27" t="s"/>
      <c r="L144" s="27" t="s"/>
      <c r="M144" s="27" t="s"/>
    </row>
    <row r="145" spans="1:13">
      <c r="A145" s="19" t="s">
        <v>86</v>
      </c>
      <c r="B145" s="19" t="s">
        <v>85</v>
      </c>
      <c r="C145" s="19" t="s">
        <v>297</v>
      </c>
      <c r="D145" s="25">
        <v>1.5</v>
      </c>
      <c r="E145" s="26">
        <v>1169.04</v>
      </c>
      <c r="F145" s="19" t="s">
        <v>648</v>
      </c>
      <c r="G145" s="40" t="s"/>
      <c r="H145" s="26" t="s"/>
      <c r="I145" s="19" t="s"/>
      <c r="J145" s="19" t="s"/>
      <c r="K145" s="27" t="s"/>
      <c r="L145" s="27" t="s"/>
      <c r="M145" s="27" t="s"/>
    </row>
    <row r="146" spans="1:13">
      <c r="A146" s="19" t="s">
        <v>86</v>
      </c>
      <c r="B146" s="19" t="s">
        <v>85</v>
      </c>
      <c r="C146" s="19" t="s">
        <v>297</v>
      </c>
      <c r="D146" s="25">
        <v>2</v>
      </c>
      <c r="E146" s="26">
        <v>1221.22</v>
      </c>
      <c r="F146" s="19" t="s">
        <v>655</v>
      </c>
      <c r="G146" s="40" t="s"/>
      <c r="H146" s="26" t="s"/>
      <c r="I146" s="19" t="s"/>
      <c r="J146" s="19" t="s"/>
      <c r="K146" s="27" t="s"/>
      <c r="L146" s="27" t="s"/>
      <c r="M146" s="27" t="s"/>
    </row>
    <row r="147" spans="1:13">
      <c r="A147" s="19" t="s">
        <v>139</v>
      </c>
      <c r="B147" s="19" t="s">
        <v>138</v>
      </c>
      <c r="C147" s="19" t="s">
        <v>297</v>
      </c>
      <c r="D147" s="25">
        <v>1</v>
      </c>
      <c r="E147" s="26">
        <v>862.5</v>
      </c>
      <c r="F147" s="19" t="s">
        <v>297</v>
      </c>
      <c r="G147" s="40" t="s"/>
      <c r="H147" s="26" t="s"/>
      <c r="I147" s="19" t="s"/>
      <c r="J147" s="19" t="s"/>
      <c r="K147" s="27" t="s"/>
      <c r="L147" s="27" t="s"/>
      <c r="M147" s="27" t="s"/>
    </row>
    <row r="148" spans="1:13">
      <c r="A148" s="19" t="s">
        <v>86</v>
      </c>
      <c r="B148" s="19" t="s">
        <v>85</v>
      </c>
      <c r="C148" s="19" t="s">
        <v>297</v>
      </c>
      <c r="D148" s="25">
        <v>0.3</v>
      </c>
      <c r="E148" s="26">
        <v>258.75</v>
      </c>
      <c r="F148" s="19" t="s">
        <v>297</v>
      </c>
      <c r="G148" s="40" t="s"/>
      <c r="H148" s="26" t="s"/>
      <c r="I148" s="19" t="s"/>
      <c r="J148" s="19" t="s"/>
      <c r="K148" s="27" t="s"/>
      <c r="L148" s="27" t="s"/>
      <c r="M148" s="27" t="s"/>
    </row>
    <row r="149" spans="1:13">
      <c r="A149" s="19" t="s">
        <v>305</v>
      </c>
      <c r="B149" s="19" t="s">
        <v>112</v>
      </c>
      <c r="C149" s="19" t="s">
        <v>297</v>
      </c>
      <c r="D149" s="25">
        <v>1</v>
      </c>
      <c r="E149" s="26">
        <v>862.5</v>
      </c>
      <c r="F149" s="19" t="s">
        <v>297</v>
      </c>
      <c r="G149" s="40" t="s"/>
      <c r="H149" s="26" t="s"/>
      <c r="I149" s="19" t="s"/>
      <c r="J149" s="19" t="s"/>
      <c r="K149" s="27" t="s"/>
      <c r="L149" s="27" t="s"/>
      <c r="M149" s="27" t="s"/>
    </row>
    <row r="150" spans="1:13">
      <c r="A150" s="19" t="s">
        <v>307</v>
      </c>
      <c r="B150" s="19" t="s">
        <v>96</v>
      </c>
      <c r="C150" s="19" t="s">
        <v>297</v>
      </c>
      <c r="D150" s="25">
        <v>0.7</v>
      </c>
      <c r="E150" s="26">
        <v>603.75</v>
      </c>
      <c r="F150" s="19" t="s">
        <v>297</v>
      </c>
      <c r="G150" s="40" t="s"/>
      <c r="H150" s="26" t="s"/>
      <c r="I150" s="19" t="s"/>
      <c r="J150" s="19" t="s"/>
      <c r="K150" s="27" t="s"/>
      <c r="L150" s="27" t="s"/>
      <c r="M150" s="27" t="s"/>
    </row>
    <row r="151" spans="1:13">
      <c r="A151" s="19" t="s">
        <v>300</v>
      </c>
      <c r="B151" s="19" t="s">
        <v>100</v>
      </c>
      <c r="C151" s="19" t="s">
        <v>297</v>
      </c>
      <c r="D151" s="25">
        <v>1</v>
      </c>
      <c r="E151" s="26">
        <v>862.5</v>
      </c>
      <c r="F151" s="19" t="s">
        <v>297</v>
      </c>
      <c r="G151" s="40" t="s"/>
      <c r="H151" s="26" t="s"/>
      <c r="I151" s="19" t="s"/>
      <c r="J151" s="19" t="s"/>
      <c r="K151" s="27" t="s"/>
      <c r="L151" s="27" t="s"/>
      <c r="M151" s="27" t="s"/>
    </row>
    <row r="152" spans="1:13">
      <c r="A152" s="19" t="s">
        <v>80</v>
      </c>
      <c r="B152" s="19" t="s">
        <v>79</v>
      </c>
      <c r="C152" s="19" t="s">
        <v>312</v>
      </c>
      <c r="D152" s="25">
        <v>2.1</v>
      </c>
      <c r="E152" s="26">
        <v>1092.95</v>
      </c>
      <c r="F152" s="19" t="s">
        <v>211</v>
      </c>
      <c r="G152" s="40" t="s"/>
      <c r="H152" s="26" t="s"/>
      <c r="I152" s="19" t="s"/>
      <c r="J152" s="19" t="s"/>
      <c r="K152" s="27" t="s"/>
      <c r="L152" s="27" t="s"/>
      <c r="M152" s="27" t="s"/>
    </row>
    <row r="153" spans="1:13">
      <c r="A153" s="19" t="s">
        <v>305</v>
      </c>
      <c r="B153" s="19" t="s">
        <v>112</v>
      </c>
      <c r="C153" s="19" t="s">
        <v>297</v>
      </c>
      <c r="D153" s="25">
        <v>1.4</v>
      </c>
      <c r="E153" s="26">
        <v>728.63</v>
      </c>
      <c r="F153" s="19" t="s">
        <v>211</v>
      </c>
      <c r="G153" s="40" t="s"/>
      <c r="H153" s="26" t="s"/>
      <c r="I153" s="19" t="s"/>
      <c r="J153" s="19" t="s"/>
      <c r="K153" s="27" t="s"/>
      <c r="L153" s="27" t="s"/>
      <c r="M153" s="27" t="s"/>
    </row>
    <row r="154" spans="1:13">
      <c r="A154" s="19" t="s">
        <v>351</v>
      </c>
      <c r="B154" s="19" t="s">
        <v>110</v>
      </c>
      <c r="C154" s="19" t="s">
        <v>310</v>
      </c>
      <c r="D154" s="25">
        <v>5</v>
      </c>
      <c r="E154" s="26">
        <v>2602.25</v>
      </c>
      <c r="F154" s="19" t="s">
        <v>310</v>
      </c>
      <c r="G154" s="40" t="s"/>
      <c r="H154" s="26" t="s"/>
      <c r="I154" s="19" t="s"/>
      <c r="J154" s="19" t="s"/>
      <c r="K154" s="27" t="s"/>
      <c r="L154" s="27" t="s"/>
      <c r="M154" s="27" t="s"/>
    </row>
    <row r="155" spans="1:13">
      <c r="A155" s="19" t="s">
        <v>80</v>
      </c>
      <c r="B155" s="19" t="s">
        <v>79</v>
      </c>
      <c r="C155" s="19" t="s">
        <v>312</v>
      </c>
      <c r="D155" s="25">
        <v>1</v>
      </c>
      <c r="E155" s="26">
        <v>1428.03</v>
      </c>
      <c r="F155" s="19" t="s">
        <v>158</v>
      </c>
      <c r="G155" s="40" t="s"/>
      <c r="H155" s="26" t="s"/>
      <c r="I155" s="19" t="s"/>
      <c r="J155" s="19" t="s"/>
      <c r="K155" s="27" t="s"/>
      <c r="L155" s="27" t="s"/>
      <c r="M155" s="27" t="s"/>
    </row>
    <row r="156" spans="1:13">
      <c r="A156" s="19" t="s">
        <v>80</v>
      </c>
      <c r="B156" s="19" t="s">
        <v>79</v>
      </c>
      <c r="C156" s="19" t="s">
        <v>312</v>
      </c>
      <c r="D156" s="25">
        <v>1</v>
      </c>
      <c r="E156" s="26">
        <v>1428.03</v>
      </c>
      <c r="F156" s="19" t="s">
        <v>158</v>
      </c>
      <c r="G156" s="40" t="s"/>
      <c r="H156" s="26" t="s"/>
      <c r="I156" s="19" t="s"/>
      <c r="J156" s="19" t="s"/>
      <c r="K156" s="27" t="s"/>
      <c r="L156" s="27" t="s"/>
      <c r="M156" s="27" t="s"/>
    </row>
    <row r="157" spans="1:13">
      <c r="A157" s="19" t="s">
        <v>305</v>
      </c>
      <c r="B157" s="19" t="s">
        <v>112</v>
      </c>
      <c r="C157" s="19" t="s">
        <v>297</v>
      </c>
      <c r="D157" s="25">
        <v>3.5</v>
      </c>
      <c r="E157" s="26">
        <v>3192.42</v>
      </c>
      <c r="F157" s="19" t="s">
        <v>216</v>
      </c>
      <c r="G157" s="40" t="s"/>
      <c r="H157" s="26" t="s"/>
      <c r="I157" s="19" t="s"/>
      <c r="J157" s="19" t="s"/>
      <c r="K157" s="27" t="s"/>
      <c r="L157" s="27" t="s"/>
      <c r="M157" s="27" t="s"/>
    </row>
    <row r="158" spans="1:13">
      <c r="A158" s="19" t="s">
        <v>109</v>
      </c>
      <c r="B158" s="19" t="s">
        <v>108</v>
      </c>
      <c r="C158" s="19" t="s">
        <v>161</v>
      </c>
      <c r="D158" s="25">
        <v>0.5</v>
      </c>
      <c r="E158" s="26">
        <v>579.17</v>
      </c>
      <c r="F158" s="19" t="s">
        <v>161</v>
      </c>
      <c r="G158" s="40" t="s"/>
      <c r="H158" s="26" t="s"/>
      <c r="I158" s="19" t="s"/>
      <c r="J158" s="19" t="s"/>
      <c r="K158" s="27" t="s"/>
      <c r="L158" s="27" t="s"/>
      <c r="M158" s="27" t="s"/>
    </row>
    <row r="159" spans="1:13">
      <c r="A159" s="19" t="s">
        <v>80</v>
      </c>
      <c r="B159" s="19" t="s">
        <v>79</v>
      </c>
      <c r="C159" s="19" t="s">
        <v>312</v>
      </c>
      <c r="D159" s="25">
        <v>0.1</v>
      </c>
      <c r="E159" s="26">
        <v>115.83</v>
      </c>
      <c r="F159" s="19" t="s">
        <v>161</v>
      </c>
      <c r="G159" s="40" t="s"/>
      <c r="H159" s="26" t="s"/>
      <c r="I159" s="19" t="s"/>
      <c r="J159" s="19" t="s"/>
      <c r="K159" s="27" t="s"/>
      <c r="L159" s="27" t="s"/>
      <c r="M159" s="27" t="s"/>
    </row>
    <row r="160" spans="1:13">
      <c r="A160" s="19" t="s">
        <v>305</v>
      </c>
      <c r="B160" s="19" t="s">
        <v>112</v>
      </c>
      <c r="C160" s="19" t="s">
        <v>297</v>
      </c>
      <c r="D160" s="25">
        <v>0.2</v>
      </c>
      <c r="E160" s="26">
        <v>231.67</v>
      </c>
      <c r="F160" s="19" t="s">
        <v>161</v>
      </c>
      <c r="G160" s="40" t="s"/>
      <c r="H160" s="26" t="s"/>
      <c r="I160" s="19" t="s"/>
      <c r="J160" s="19" t="s"/>
      <c r="K160" s="27" t="s"/>
      <c r="L160" s="27" t="s"/>
      <c r="M160" s="27" t="s"/>
    </row>
    <row r="161" spans="1:13">
      <c r="A161" s="19" t="s">
        <v>135</v>
      </c>
      <c r="B161" s="19" t="s">
        <v>134</v>
      </c>
      <c r="C161" s="19" t="s">
        <v>161</v>
      </c>
      <c r="D161" s="25">
        <v>1.5</v>
      </c>
      <c r="E161" s="26">
        <v>1737.5</v>
      </c>
      <c r="F161" s="19" t="s">
        <v>161</v>
      </c>
      <c r="G161" s="40" t="s"/>
      <c r="H161" s="26" t="s"/>
      <c r="I161" s="19" t="s"/>
      <c r="J161" s="19" t="s"/>
      <c r="K161" s="27" t="s"/>
      <c r="L161" s="27" t="s"/>
      <c r="M161" s="27" t="s"/>
    </row>
    <row r="162" spans="1:13">
      <c r="A162" s="19" t="s">
        <v>318</v>
      </c>
      <c r="B162" s="19" t="s">
        <v>126</v>
      </c>
      <c r="C162" s="19" t="s">
        <v>161</v>
      </c>
      <c r="D162" s="25">
        <v>0.8</v>
      </c>
      <c r="E162" s="26">
        <v>926.66</v>
      </c>
      <c r="F162" s="19" t="s">
        <v>161</v>
      </c>
      <c r="G162" s="40" t="s"/>
      <c r="H162" s="26" t="s"/>
      <c r="I162" s="19" t="s"/>
      <c r="J162" s="19" t="s"/>
      <c r="K162" s="27" t="s"/>
      <c r="L162" s="27" t="s"/>
      <c r="M162" s="27" t="s"/>
    </row>
    <row r="163" spans="1:13">
      <c r="A163" s="19" t="s">
        <v>309</v>
      </c>
      <c r="B163" s="19" t="s">
        <v>118</v>
      </c>
      <c r="C163" s="19" t="s">
        <v>310</v>
      </c>
      <c r="D163" s="25">
        <v>3</v>
      </c>
      <c r="E163" s="26">
        <v>2736.36</v>
      </c>
      <c r="F163" s="19" t="s">
        <v>205</v>
      </c>
      <c r="G163" s="40" t="s"/>
      <c r="H163" s="26" t="s"/>
      <c r="I163" s="19" t="s"/>
      <c r="J163" s="19" t="s"/>
      <c r="K163" s="27" t="s"/>
      <c r="L163" s="27" t="s"/>
      <c r="M163" s="27" t="s"/>
    </row>
    <row r="164" spans="1:13">
      <c r="A164" s="19" t="s">
        <v>80</v>
      </c>
      <c r="B164" s="19" t="s">
        <v>79</v>
      </c>
      <c r="C164" s="19" t="s">
        <v>312</v>
      </c>
      <c r="D164" s="25">
        <v>2</v>
      </c>
      <c r="E164" s="26">
        <v>1824.24</v>
      </c>
      <c r="F164" s="19" t="s">
        <v>205</v>
      </c>
      <c r="G164" s="40" t="s"/>
      <c r="H164" s="26" t="s"/>
      <c r="I164" s="19" t="s"/>
      <c r="J164" s="19" t="s"/>
      <c r="K164" s="27" t="s"/>
      <c r="L164" s="27" t="s"/>
      <c r="M164" s="27" t="s"/>
    </row>
    <row r="165" spans="1:13">
      <c r="A165" s="19" t="s">
        <v>80</v>
      </c>
      <c r="B165" s="19" t="s">
        <v>79</v>
      </c>
      <c r="C165" s="19" t="s">
        <v>312</v>
      </c>
      <c r="D165" s="25">
        <v>5</v>
      </c>
      <c r="E165" s="26">
        <v>5791.65</v>
      </c>
      <c r="F165" s="19" t="s">
        <v>312</v>
      </c>
      <c r="G165" s="40" t="s"/>
      <c r="H165" s="26" t="s"/>
      <c r="I165" s="19" t="s"/>
      <c r="J165" s="19" t="s"/>
      <c r="K165" s="27" t="s"/>
      <c r="L165" s="27" t="s"/>
      <c r="M165" s="27" t="s"/>
    </row>
    <row r="166" spans="1:13">
      <c r="A166" s="19" t="s">
        <v>91</v>
      </c>
      <c r="B166" s="19" t="s">
        <v>90</v>
      </c>
      <c r="C166" s="19" t="s">
        <v>338</v>
      </c>
      <c r="D166" s="25">
        <v>3</v>
      </c>
      <c r="E166" s="26">
        <v>2587.5</v>
      </c>
      <c r="F166" s="19" t="s">
        <v>338</v>
      </c>
      <c r="G166" s="40" t="s"/>
      <c r="H166" s="26" t="s"/>
      <c r="I166" s="19" t="s"/>
      <c r="J166" s="19" t="s"/>
      <c r="K166" s="27" t="s"/>
      <c r="L166" s="27" t="s"/>
      <c r="M166" s="27" t="s"/>
    </row>
    <row r="167" spans="1:13">
      <c r="A167" s="19" t="s">
        <v>360</v>
      </c>
      <c r="B167" s="19" t="s">
        <v>116</v>
      </c>
      <c r="C167" s="19" t="s">
        <v>338</v>
      </c>
      <c r="D167" s="25">
        <v>2</v>
      </c>
      <c r="E167" s="26">
        <v>1725</v>
      </c>
      <c r="F167" s="19" t="s">
        <v>338</v>
      </c>
      <c r="G167" s="40" t="s"/>
      <c r="H167" s="26" t="s"/>
      <c r="I167" s="19" t="s"/>
      <c r="J167" s="19" t="s"/>
      <c r="K167" s="27" t="s"/>
      <c r="L167" s="27" t="s"/>
      <c r="M167" s="27" t="s"/>
    </row>
    <row r="168" spans="1:13">
      <c r="A168" s="19" t="s">
        <v>103</v>
      </c>
      <c r="B168" s="19" t="s">
        <v>102</v>
      </c>
      <c r="C168" s="19" t="s">
        <v>338</v>
      </c>
      <c r="D168" s="25">
        <v>1</v>
      </c>
      <c r="E168" s="26">
        <v>912.12</v>
      </c>
      <c r="F168" s="19" t="s">
        <v>363</v>
      </c>
      <c r="G168" s="40" t="s"/>
      <c r="H168" s="26" t="s"/>
      <c r="I168" s="19" t="s"/>
      <c r="J168" s="19" t="s"/>
      <c r="K168" s="27" t="s"/>
      <c r="L168" s="27" t="s"/>
      <c r="M168" s="27" t="s"/>
    </row>
    <row r="169" spans="1:13">
      <c r="A169" s="19" t="s">
        <v>80</v>
      </c>
      <c r="B169" s="19" t="s">
        <v>79</v>
      </c>
      <c r="C169" s="19" t="s">
        <v>312</v>
      </c>
      <c r="D169" s="25">
        <v>5</v>
      </c>
      <c r="E169" s="26">
        <v>3579.55</v>
      </c>
      <c r="F169" s="19" t="s">
        <v>167</v>
      </c>
      <c r="G169" s="40" t="s"/>
      <c r="H169" s="26" t="s"/>
      <c r="I169" s="19" t="s"/>
      <c r="J169" s="19" t="s"/>
      <c r="K169" s="27" t="s"/>
      <c r="L169" s="27" t="s"/>
      <c r="M169" s="27" t="s"/>
    </row>
    <row r="170" spans="1:13">
      <c r="A170" s="19" t="s">
        <v>135</v>
      </c>
      <c r="B170" s="19" t="s">
        <v>134</v>
      </c>
      <c r="C170" s="19" t="s">
        <v>161</v>
      </c>
      <c r="D170" s="25">
        <v>0.5</v>
      </c>
      <c r="E170" s="26">
        <v>431.25</v>
      </c>
      <c r="F170" s="19" t="s">
        <v>429</v>
      </c>
      <c r="G170" s="40" t="s"/>
      <c r="H170" s="26" t="s"/>
      <c r="I170" s="19" t="s"/>
      <c r="J170" s="19" t="s"/>
      <c r="K170" s="27" t="s"/>
      <c r="L170" s="27" t="s"/>
      <c r="M170" s="27" t="s"/>
    </row>
    <row r="171" spans="1:13">
      <c r="A171" s="19" t="s">
        <v>80</v>
      </c>
      <c r="B171" s="19" t="s">
        <v>79</v>
      </c>
      <c r="C171" s="19" t="s">
        <v>312</v>
      </c>
      <c r="D171" s="25">
        <v>0.25</v>
      </c>
      <c r="E171" s="26">
        <v>106.06</v>
      </c>
      <c r="F171" s="19" t="s">
        <v>855</v>
      </c>
      <c r="G171" s="40" t="s"/>
      <c r="H171" s="26" t="s"/>
      <c r="I171" s="19" t="s"/>
      <c r="J171" s="19" t="s"/>
      <c r="K171" s="27" t="s"/>
      <c r="L171" s="27" t="s"/>
      <c r="M171" s="27" t="s"/>
    </row>
    <row r="172" spans="1:13">
      <c r="A172" s="19" t="s">
        <v>107</v>
      </c>
      <c r="B172" s="19" t="s">
        <v>106</v>
      </c>
      <c r="C172" s="19" t="s">
        <v>310</v>
      </c>
      <c r="D172" s="25">
        <v>0.71</v>
      </c>
      <c r="E172" s="26">
        <v>508.3</v>
      </c>
      <c r="F172" s="19" t="s">
        <v>635</v>
      </c>
      <c r="G172" s="40" t="s"/>
      <c r="H172" s="26" t="s"/>
      <c r="I172" s="19" t="s"/>
      <c r="J172" s="19" t="s"/>
      <c r="K172" s="27" t="s"/>
      <c r="L172" s="27" t="s"/>
      <c r="M172" s="27" t="s"/>
    </row>
    <row r="173" spans="1:13">
      <c r="A173" s="19" t="s">
        <v>80</v>
      </c>
      <c r="B173" s="19" t="s">
        <v>79</v>
      </c>
      <c r="C173" s="19" t="s">
        <v>312</v>
      </c>
      <c r="D173" s="25">
        <v>2</v>
      </c>
      <c r="E173" s="26">
        <v>1994.7</v>
      </c>
      <c r="F173" s="19" t="s">
        <v>638</v>
      </c>
      <c r="G173" s="40" t="s"/>
      <c r="H173" s="26" t="s"/>
      <c r="I173" s="19" t="s"/>
      <c r="J173" s="19" t="s"/>
      <c r="K173" s="27" t="s"/>
      <c r="L173" s="27" t="s"/>
      <c r="M173" s="27" t="s"/>
    </row>
    <row r="174" spans="1:13">
      <c r="A174" s="19" t="s">
        <v>80</v>
      </c>
      <c r="B174" s="19" t="s">
        <v>79</v>
      </c>
      <c r="C174" s="19" t="s">
        <v>312</v>
      </c>
      <c r="D174" s="25">
        <v>5</v>
      </c>
      <c r="E174" s="26">
        <v>3896.8</v>
      </c>
      <c r="F174" s="19" t="s">
        <v>658</v>
      </c>
      <c r="G174" s="40" t="s"/>
      <c r="H174" s="26" t="s"/>
      <c r="I174" s="19" t="s"/>
      <c r="J174" s="19" t="s"/>
      <c r="K174" s="27" t="s"/>
      <c r="L174" s="27" t="s"/>
      <c r="M174" s="27" t="s"/>
    </row>
    <row r="175" spans="1:13">
      <c r="A175" s="19" t="s">
        <v>91</v>
      </c>
      <c r="B175" s="19" t="s">
        <v>90</v>
      </c>
      <c r="C175" s="19" t="s">
        <v>338</v>
      </c>
      <c r="D175" s="25">
        <v>2</v>
      </c>
      <c r="E175" s="26">
        <v>1221.22</v>
      </c>
      <c r="F175" s="19" t="s">
        <v>575</v>
      </c>
      <c r="G175" s="40" t="s"/>
      <c r="H175" s="26" t="s"/>
      <c r="I175" s="19" t="s"/>
      <c r="J175" s="19" t="s"/>
      <c r="K175" s="27" t="s"/>
      <c r="L175" s="27" t="s"/>
      <c r="M175" s="27" t="s"/>
    </row>
    <row r="176" spans="1:13">
      <c r="A176" s="19" t="s">
        <v>80</v>
      </c>
      <c r="B176" s="19" t="s">
        <v>79</v>
      </c>
      <c r="C176" s="19" t="s">
        <v>312</v>
      </c>
      <c r="D176" s="25">
        <v>3</v>
      </c>
      <c r="E176" s="26">
        <v>2587.5</v>
      </c>
      <c r="F176" s="19" t="s">
        <v>528</v>
      </c>
      <c r="G176" s="40" t="s"/>
      <c r="H176" s="26" t="s"/>
      <c r="I176" s="19" t="s"/>
      <c r="J176" s="19" t="s"/>
      <c r="K176" s="27" t="s"/>
      <c r="L176" s="27" t="s"/>
      <c r="M176" s="27" t="s"/>
    </row>
    <row r="177" spans="1:13">
      <c r="A177" s="19" t="s">
        <v>351</v>
      </c>
      <c r="B177" s="19" t="s">
        <v>110</v>
      </c>
      <c r="C177" s="19" t="s">
        <v>310</v>
      </c>
      <c r="D177" s="25">
        <v>3</v>
      </c>
      <c r="E177" s="26">
        <v>1561.35</v>
      </c>
      <c r="F177" s="19" t="s">
        <v>702</v>
      </c>
      <c r="G177" s="40" t="s"/>
      <c r="H177" s="26" t="s"/>
      <c r="I177" s="19" t="s"/>
      <c r="J177" s="19" t="s"/>
      <c r="K177" s="27" t="s"/>
      <c r="L177" s="27" t="s"/>
      <c r="M177" s="27" t="s"/>
    </row>
    <row r="178" spans="1:13">
      <c r="A178" s="19" t="s">
        <v>80</v>
      </c>
      <c r="B178" s="19" t="s">
        <v>79</v>
      </c>
      <c r="C178" s="19" t="s">
        <v>312</v>
      </c>
      <c r="D178" s="25">
        <v>0.5</v>
      </c>
      <c r="E178" s="26">
        <v>431.25</v>
      </c>
      <c r="F178" s="19" t="s">
        <v>154</v>
      </c>
      <c r="G178" s="40" t="s"/>
      <c r="H178" s="26" t="s"/>
      <c r="I178" s="19" t="s"/>
      <c r="J178" s="19" t="s"/>
      <c r="K178" s="27" t="s"/>
      <c r="L178" s="27" t="s"/>
      <c r="M178" s="27" t="s"/>
    </row>
    <row r="179" spans="1:13">
      <c r="A179" s="19" t="s">
        <v>91</v>
      </c>
      <c r="B179" s="19" t="s">
        <v>90</v>
      </c>
      <c r="C179" s="19" t="s">
        <v>338</v>
      </c>
      <c r="D179" s="25">
        <v>3</v>
      </c>
      <c r="E179" s="26">
        <v>2587.5</v>
      </c>
      <c r="F179" s="19" t="s">
        <v>154</v>
      </c>
      <c r="G179" s="40" t="s"/>
      <c r="H179" s="26" t="s"/>
      <c r="I179" s="19" t="s"/>
      <c r="J179" s="19" t="s"/>
      <c r="K179" s="27" t="s"/>
      <c r="L179" s="27" t="s"/>
      <c r="M179" s="27" t="s"/>
    </row>
    <row r="180" spans="1:13">
      <c r="A180" s="19" t="s">
        <v>80</v>
      </c>
      <c r="B180" s="19" t="s">
        <v>79</v>
      </c>
      <c r="C180" s="19" t="s">
        <v>312</v>
      </c>
      <c r="D180" s="25">
        <v>1</v>
      </c>
      <c r="E180" s="26">
        <v>862.5</v>
      </c>
      <c r="F180" s="19" t="s">
        <v>154</v>
      </c>
      <c r="G180" s="40" t="s"/>
      <c r="H180" s="26" t="s"/>
      <c r="I180" s="19" t="s"/>
      <c r="J180" s="19" t="s"/>
      <c r="K180" s="27" t="s"/>
      <c r="L180" s="27" t="s"/>
      <c r="M180" s="27" t="s"/>
    </row>
    <row r="181" spans="1:13">
      <c r="A181" s="19" t="s">
        <v>80</v>
      </c>
      <c r="B181" s="19" t="s">
        <v>79</v>
      </c>
      <c r="C181" s="19" t="s">
        <v>312</v>
      </c>
      <c r="D181" s="25">
        <v>5</v>
      </c>
      <c r="E181" s="26">
        <v>4312.5</v>
      </c>
      <c r="F181" s="19" t="s">
        <v>592</v>
      </c>
      <c r="G181" s="40" t="s"/>
      <c r="H181" s="26" t="s"/>
      <c r="I181" s="19" t="s"/>
      <c r="J181" s="19" t="s"/>
      <c r="K181" s="27" t="s"/>
      <c r="L181" s="27" t="s"/>
      <c r="M181" s="27" t="s"/>
    </row>
    <row r="182" spans="1:13">
      <c r="A182" s="19" t="s">
        <v>80</v>
      </c>
      <c r="B182" s="19" t="s">
        <v>79</v>
      </c>
      <c r="C182" s="19" t="s">
        <v>312</v>
      </c>
      <c r="D182" s="25">
        <v>5</v>
      </c>
      <c r="E182" s="26">
        <v>3896.8</v>
      </c>
      <c r="F182" s="19" t="s">
        <v>562</v>
      </c>
      <c r="G182" s="40" t="s"/>
      <c r="H182" s="26" t="s"/>
      <c r="I182" s="19" t="s"/>
      <c r="J182" s="19" t="s"/>
      <c r="K182" s="27" t="s"/>
      <c r="L182" s="27" t="s"/>
      <c r="M182" s="27" t="s"/>
    </row>
    <row r="183" spans="1:13">
      <c r="A183" s="19" t="s">
        <v>303</v>
      </c>
      <c r="B183" s="19" t="s">
        <v>89</v>
      </c>
      <c r="C183" s="19" t="s">
        <v>297</v>
      </c>
      <c r="D183" s="25">
        <v>1</v>
      </c>
      <c r="E183" s="26">
        <v>862.5</v>
      </c>
      <c r="F183" s="19" t="s">
        <v>297</v>
      </c>
      <c r="G183" s="40" t="s"/>
      <c r="H183" s="26" t="s"/>
      <c r="I183" s="19" t="s"/>
      <c r="J183" s="19" t="s"/>
      <c r="K183" s="27" t="s"/>
      <c r="L183" s="27" t="s"/>
      <c r="M183" s="27" t="s"/>
    </row>
    <row r="184" spans="1:13">
      <c r="A184" s="19" t="s">
        <v>139</v>
      </c>
      <c r="B184" s="19" t="s">
        <v>138</v>
      </c>
      <c r="C184" s="19" t="s">
        <v>297</v>
      </c>
      <c r="D184" s="25">
        <v>1</v>
      </c>
      <c r="E184" s="26">
        <v>862.5</v>
      </c>
      <c r="F184" s="19" t="s">
        <v>297</v>
      </c>
      <c r="G184" s="40" t="s"/>
      <c r="H184" s="26" t="s"/>
      <c r="I184" s="19" t="s"/>
      <c r="J184" s="19" t="s"/>
      <c r="K184" s="27" t="s"/>
      <c r="L184" s="27" t="s"/>
      <c r="M184" s="27" t="s"/>
    </row>
    <row r="185" spans="1:13">
      <c r="A185" s="19" t="s">
        <v>305</v>
      </c>
      <c r="B185" s="19" t="s">
        <v>112</v>
      </c>
      <c r="C185" s="19" t="s">
        <v>297</v>
      </c>
      <c r="D185" s="25">
        <v>1</v>
      </c>
      <c r="E185" s="26">
        <v>862.5</v>
      </c>
      <c r="F185" s="19" t="s">
        <v>297</v>
      </c>
      <c r="G185" s="40" t="s"/>
      <c r="H185" s="26" t="s"/>
      <c r="I185" s="19" t="s"/>
      <c r="J185" s="19" t="s"/>
      <c r="K185" s="27" t="s"/>
      <c r="L185" s="27" t="s"/>
      <c r="M185" s="27" t="s"/>
    </row>
    <row r="186" spans="1:13">
      <c r="A186" s="19" t="s">
        <v>307</v>
      </c>
      <c r="B186" s="19" t="s">
        <v>96</v>
      </c>
      <c r="C186" s="19" t="s">
        <v>297</v>
      </c>
      <c r="D186" s="25">
        <v>1</v>
      </c>
      <c r="E186" s="26">
        <v>862.5</v>
      </c>
      <c r="F186" s="19" t="s">
        <v>297</v>
      </c>
      <c r="G186" s="40" t="s"/>
      <c r="H186" s="26" t="s"/>
      <c r="I186" s="19" t="s"/>
      <c r="J186" s="19" t="s"/>
      <c r="K186" s="27" t="s"/>
      <c r="L186" s="27" t="s"/>
      <c r="M186" s="27" t="s"/>
    </row>
    <row r="187" spans="1:13">
      <c r="A187" s="19" t="s">
        <v>80</v>
      </c>
      <c r="B187" s="19" t="s">
        <v>79</v>
      </c>
      <c r="C187" s="19" t="s">
        <v>312</v>
      </c>
      <c r="D187" s="25">
        <v>4</v>
      </c>
      <c r="E187" s="26">
        <v>2081.8</v>
      </c>
      <c r="F187" s="19" t="s">
        <v>211</v>
      </c>
      <c r="G187" s="40" t="s"/>
      <c r="H187" s="26" t="s"/>
      <c r="I187" s="19" t="s"/>
      <c r="J187" s="19" t="s"/>
      <c r="K187" s="27" t="s"/>
      <c r="L187" s="27" t="s"/>
      <c r="M187" s="27" t="s"/>
    </row>
    <row r="188" spans="1:13">
      <c r="A188" s="19" t="s">
        <v>107</v>
      </c>
      <c r="B188" s="19" t="s">
        <v>106</v>
      </c>
      <c r="C188" s="19" t="s">
        <v>310</v>
      </c>
      <c r="D188" s="25">
        <v>5</v>
      </c>
      <c r="E188" s="26">
        <v>2602.25</v>
      </c>
      <c r="F188" s="19" t="s">
        <v>310</v>
      </c>
      <c r="G188" s="40" t="s"/>
      <c r="H188" s="26" t="s"/>
      <c r="I188" s="19" t="s"/>
      <c r="J188" s="19" t="s"/>
      <c r="K188" s="27" t="s"/>
      <c r="L188" s="27" t="s"/>
      <c r="M188" s="27" t="s"/>
    </row>
    <row r="189" spans="1:13">
      <c r="A189" s="19" t="s">
        <v>80</v>
      </c>
      <c r="B189" s="19" t="s">
        <v>79</v>
      </c>
      <c r="C189" s="19" t="s">
        <v>312</v>
      </c>
      <c r="D189" s="25">
        <v>1.5</v>
      </c>
      <c r="E189" s="26">
        <v>2142.05</v>
      </c>
      <c r="F189" s="19" t="s">
        <v>158</v>
      </c>
      <c r="G189" s="40" t="s"/>
      <c r="H189" s="26" t="s"/>
      <c r="I189" s="19" t="s"/>
      <c r="J189" s="19" t="s"/>
      <c r="K189" s="27" t="s"/>
      <c r="L189" s="27" t="s"/>
      <c r="M189" s="27" t="s"/>
    </row>
    <row r="190" spans="1:13">
      <c r="A190" s="19" t="s">
        <v>305</v>
      </c>
      <c r="B190" s="19" t="s">
        <v>112</v>
      </c>
      <c r="C190" s="19" t="s">
        <v>297</v>
      </c>
      <c r="D190" s="25">
        <v>4.5</v>
      </c>
      <c r="E190" s="26">
        <v>4104.54</v>
      </c>
      <c r="F190" s="19" t="s">
        <v>216</v>
      </c>
      <c r="G190" s="40" t="s"/>
      <c r="H190" s="26" t="s"/>
      <c r="I190" s="19" t="s"/>
      <c r="J190" s="19" t="s"/>
      <c r="K190" s="27" t="s"/>
      <c r="L190" s="27" t="s"/>
      <c r="M190" s="27" t="s"/>
    </row>
    <row r="191" spans="1:13">
      <c r="A191" s="19" t="s">
        <v>135</v>
      </c>
      <c r="B191" s="19" t="s">
        <v>134</v>
      </c>
      <c r="C191" s="19" t="s">
        <v>161</v>
      </c>
      <c r="D191" s="25">
        <v>0.5</v>
      </c>
      <c r="E191" s="26">
        <v>579.17</v>
      </c>
      <c r="F191" s="19" t="s">
        <v>161</v>
      </c>
      <c r="G191" s="40" t="s"/>
      <c r="H191" s="26" t="s"/>
      <c r="I191" s="19" t="s"/>
      <c r="J191" s="19" t="s"/>
      <c r="K191" s="27" t="s"/>
      <c r="L191" s="27" t="s"/>
      <c r="M191" s="27" t="s"/>
    </row>
    <row r="192" spans="1:13">
      <c r="A192" s="19" t="s">
        <v>305</v>
      </c>
      <c r="B192" s="19" t="s">
        <v>112</v>
      </c>
      <c r="C192" s="19" t="s">
        <v>297</v>
      </c>
      <c r="D192" s="25">
        <v>0.4</v>
      </c>
      <c r="E192" s="26">
        <v>463.33</v>
      </c>
      <c r="F192" s="19" t="s">
        <v>161</v>
      </c>
      <c r="G192" s="40" t="s"/>
      <c r="H192" s="26" t="s"/>
      <c r="I192" s="19" t="s"/>
      <c r="J192" s="19" t="s"/>
      <c r="K192" s="27" t="s"/>
      <c r="L192" s="27" t="s"/>
      <c r="M192" s="27" t="s"/>
    </row>
    <row r="193" spans="1:13">
      <c r="A193" s="19" t="s">
        <v>318</v>
      </c>
      <c r="B193" s="19" t="s">
        <v>126</v>
      </c>
      <c r="C193" s="19" t="s">
        <v>161</v>
      </c>
      <c r="D193" s="25">
        <v>0.5</v>
      </c>
      <c r="E193" s="26">
        <v>579.17</v>
      </c>
      <c r="F193" s="19" t="s">
        <v>161</v>
      </c>
      <c r="G193" s="40" t="s"/>
      <c r="H193" s="26" t="s"/>
      <c r="I193" s="19" t="s"/>
      <c r="J193" s="19" t="s"/>
      <c r="K193" s="27" t="s"/>
      <c r="L193" s="27" t="s"/>
      <c r="M193" s="27" t="s"/>
    </row>
    <row r="194" spans="1:13">
      <c r="A194" s="19" t="s">
        <v>91</v>
      </c>
      <c r="B194" s="19" t="s">
        <v>90</v>
      </c>
      <c r="C194" s="19" t="s">
        <v>338</v>
      </c>
      <c r="D194" s="25">
        <v>4</v>
      </c>
      <c r="E194" s="26">
        <v>3648.48</v>
      </c>
      <c r="F194" s="19" t="s">
        <v>205</v>
      </c>
      <c r="G194" s="40" t="s"/>
      <c r="H194" s="26" t="s"/>
      <c r="I194" s="19" t="s"/>
      <c r="J194" s="19" t="s"/>
      <c r="K194" s="27" t="s"/>
      <c r="L194" s="27" t="s"/>
      <c r="M194" s="27" t="s"/>
    </row>
    <row r="195" spans="1:13">
      <c r="A195" s="19" t="s">
        <v>80</v>
      </c>
      <c r="B195" s="19" t="s">
        <v>79</v>
      </c>
      <c r="C195" s="19" t="s">
        <v>312</v>
      </c>
      <c r="D195" s="25">
        <v>2</v>
      </c>
      <c r="E195" s="26">
        <v>1994.7</v>
      </c>
      <c r="F195" s="19" t="s">
        <v>165</v>
      </c>
      <c r="G195" s="40" t="s"/>
      <c r="H195" s="26" t="s"/>
      <c r="I195" s="19" t="s"/>
      <c r="J195" s="19" t="s"/>
      <c r="K195" s="27" t="s"/>
      <c r="L195" s="27" t="s"/>
      <c r="M195" s="27" t="s"/>
    </row>
    <row r="196" spans="1:13">
      <c r="A196" s="19" t="s">
        <v>80</v>
      </c>
      <c r="B196" s="19" t="s">
        <v>79</v>
      </c>
      <c r="C196" s="19" t="s">
        <v>312</v>
      </c>
      <c r="D196" s="25">
        <v>5</v>
      </c>
      <c r="E196" s="26">
        <v>5791.65</v>
      </c>
      <c r="F196" s="19" t="s">
        <v>312</v>
      </c>
      <c r="G196" s="40" t="s"/>
      <c r="H196" s="26" t="s"/>
      <c r="I196" s="19" t="s"/>
      <c r="J196" s="19" t="s"/>
      <c r="K196" s="27" t="s"/>
      <c r="L196" s="27" t="s"/>
      <c r="M196" s="27" t="s"/>
    </row>
    <row r="197" spans="1:13">
      <c r="A197" s="19" t="s">
        <v>340</v>
      </c>
      <c r="B197" s="19" t="s">
        <v>98</v>
      </c>
      <c r="C197" s="19" t="s">
        <v>338</v>
      </c>
      <c r="D197" s="25">
        <v>1</v>
      </c>
      <c r="E197" s="26">
        <v>862.5</v>
      </c>
      <c r="F197" s="19" t="s">
        <v>338</v>
      </c>
      <c r="G197" s="40" t="s"/>
      <c r="H197" s="26" t="s"/>
      <c r="I197" s="19" t="s"/>
      <c r="J197" s="19" t="s"/>
      <c r="K197" s="27" t="s"/>
      <c r="L197" s="27" t="s"/>
      <c r="M197" s="27" t="s"/>
    </row>
    <row r="198" spans="1:13">
      <c r="A198" s="19" t="s">
        <v>91</v>
      </c>
      <c r="B198" s="19" t="s">
        <v>90</v>
      </c>
      <c r="C198" s="19" t="s">
        <v>338</v>
      </c>
      <c r="D198" s="25">
        <v>2</v>
      </c>
      <c r="E198" s="26">
        <v>1725</v>
      </c>
      <c r="F198" s="19" t="s">
        <v>338</v>
      </c>
      <c r="G198" s="40" t="s"/>
      <c r="H198" s="26" t="s"/>
      <c r="I198" s="19" t="s"/>
      <c r="J198" s="19" t="s"/>
      <c r="K198" s="27" t="s"/>
      <c r="L198" s="27" t="s"/>
      <c r="M198" s="27" t="s"/>
    </row>
    <row r="199" spans="1:13">
      <c r="A199" s="19" t="s">
        <v>360</v>
      </c>
      <c r="B199" s="19" t="s">
        <v>116</v>
      </c>
      <c r="C199" s="19" t="s">
        <v>338</v>
      </c>
      <c r="D199" s="25">
        <v>2</v>
      </c>
      <c r="E199" s="26">
        <v>1725</v>
      </c>
      <c r="F199" s="19" t="s">
        <v>338</v>
      </c>
      <c r="G199" s="40" t="s"/>
      <c r="H199" s="26" t="s"/>
      <c r="I199" s="19" t="s"/>
      <c r="J199" s="19" t="s"/>
      <c r="K199" s="27" t="s"/>
      <c r="L199" s="27" t="s"/>
      <c r="M199" s="27" t="s"/>
    </row>
    <row r="200" spans="1:13">
      <c r="A200" s="19" t="s">
        <v>80</v>
      </c>
      <c r="B200" s="19" t="s">
        <v>79</v>
      </c>
      <c r="C200" s="19" t="s">
        <v>312</v>
      </c>
      <c r="D200" s="25">
        <v>1</v>
      </c>
      <c r="E200" s="26">
        <v>912.12</v>
      </c>
      <c r="F200" s="19" t="s">
        <v>363</v>
      </c>
      <c r="G200" s="40" t="s"/>
      <c r="H200" s="26" t="s"/>
      <c r="I200" s="19" t="s"/>
      <c r="J200" s="19" t="s"/>
      <c r="K200" s="27" t="s"/>
      <c r="L200" s="27" t="s"/>
      <c r="M200" s="27" t="s"/>
    </row>
    <row r="201" spans="1:13">
      <c r="A201" s="19" t="s">
        <v>80</v>
      </c>
      <c r="B201" s="19" t="s">
        <v>79</v>
      </c>
      <c r="C201" s="19" t="s">
        <v>312</v>
      </c>
      <c r="D201" s="25">
        <v>0.5</v>
      </c>
      <c r="E201" s="26">
        <v>456.06</v>
      </c>
      <c r="F201" s="19" t="s">
        <v>363</v>
      </c>
      <c r="G201" s="40" t="s"/>
      <c r="H201" s="26" t="s"/>
      <c r="I201" s="19" t="s"/>
      <c r="J201" s="19" t="s"/>
      <c r="K201" s="27" t="s"/>
      <c r="L201" s="27" t="s"/>
      <c r="M201" s="27" t="s"/>
    </row>
    <row r="202" spans="1:13">
      <c r="A202" s="19" t="s">
        <v>80</v>
      </c>
      <c r="B202" s="19" t="s">
        <v>79</v>
      </c>
      <c r="C202" s="19" t="s">
        <v>312</v>
      </c>
      <c r="D202" s="25">
        <v>4.5</v>
      </c>
      <c r="E202" s="26">
        <v>3221.6</v>
      </c>
      <c r="F202" s="19" t="s">
        <v>167</v>
      </c>
      <c r="G202" s="40" t="s"/>
      <c r="H202" s="26" t="s"/>
      <c r="I202" s="19" t="s"/>
      <c r="J202" s="19" t="s"/>
      <c r="K202" s="27" t="s"/>
      <c r="L202" s="27" t="s"/>
      <c r="M202" s="27" t="s"/>
    </row>
    <row r="203" spans="1:13">
      <c r="A203" s="19" t="s">
        <v>135</v>
      </c>
      <c r="B203" s="19" t="s">
        <v>134</v>
      </c>
      <c r="C203" s="19" t="s">
        <v>161</v>
      </c>
      <c r="D203" s="25">
        <v>0.5</v>
      </c>
      <c r="E203" s="26">
        <v>592.97</v>
      </c>
      <c r="F203" s="19" t="s">
        <v>429</v>
      </c>
      <c r="G203" s="40" t="s"/>
      <c r="H203" s="26" t="s"/>
      <c r="I203" s="19" t="s"/>
      <c r="J203" s="19" t="s"/>
      <c r="K203" s="27" t="s"/>
      <c r="L203" s="27" t="s"/>
      <c r="M203" s="27" t="s"/>
    </row>
    <row r="204" spans="1:13">
      <c r="A204" s="19" t="s">
        <v>340</v>
      </c>
      <c r="B204" s="19" t="s">
        <v>98</v>
      </c>
      <c r="C204" s="19" t="s">
        <v>338</v>
      </c>
      <c r="D204" s="25">
        <v>1</v>
      </c>
      <c r="E204" s="26">
        <v>715.63</v>
      </c>
      <c r="F204" s="19" t="s">
        <v>856</v>
      </c>
      <c r="G204" s="40" t="s"/>
      <c r="H204" s="26" t="s"/>
      <c r="I204" s="19" t="s"/>
      <c r="J204" s="19" t="s"/>
      <c r="K204" s="27" t="s"/>
      <c r="L204" s="27" t="s"/>
      <c r="M204" s="27" t="s"/>
    </row>
    <row r="205" spans="1:13">
      <c r="A205" s="19" t="s">
        <v>107</v>
      </c>
      <c r="B205" s="19" t="s">
        <v>106</v>
      </c>
      <c r="C205" s="19" t="s">
        <v>310</v>
      </c>
      <c r="D205" s="25">
        <v>0.28</v>
      </c>
      <c r="E205" s="26">
        <v>275.63</v>
      </c>
      <c r="F205" s="19" t="s">
        <v>635</v>
      </c>
      <c r="G205" s="40" t="s"/>
      <c r="H205" s="26" t="s"/>
      <c r="I205" s="19" t="s"/>
      <c r="J205" s="19" t="s"/>
      <c r="K205" s="27" t="s"/>
      <c r="L205" s="27" t="s"/>
      <c r="M205" s="27" t="s"/>
    </row>
    <row r="206" spans="1:13">
      <c r="A206" s="19" t="s">
        <v>80</v>
      </c>
      <c r="B206" s="19" t="s">
        <v>79</v>
      </c>
      <c r="C206" s="19" t="s">
        <v>312</v>
      </c>
      <c r="D206" s="25">
        <v>0.5</v>
      </c>
      <c r="E206" s="26">
        <v>685.68</v>
      </c>
      <c r="F206" s="19" t="s">
        <v>638</v>
      </c>
      <c r="G206" s="40" t="s"/>
      <c r="H206" s="26" t="s"/>
      <c r="I206" s="19" t="s"/>
      <c r="J206" s="19" t="s"/>
      <c r="K206" s="27" t="s"/>
      <c r="L206" s="27" t="s"/>
      <c r="M206" s="27" t="s"/>
    </row>
    <row r="207" spans="1:13">
      <c r="A207" s="19" t="s">
        <v>86</v>
      </c>
      <c r="B207" s="19" t="s">
        <v>85</v>
      </c>
      <c r="C207" s="19" t="s">
        <v>297</v>
      </c>
      <c r="D207" s="25">
        <v>2</v>
      </c>
      <c r="E207" s="26">
        <v>1679.16</v>
      </c>
      <c r="F207" s="19" t="s">
        <v>589</v>
      </c>
      <c r="G207" s="40" t="s"/>
      <c r="H207" s="26" t="s"/>
      <c r="I207" s="19" t="s"/>
      <c r="J207" s="19" t="s"/>
      <c r="K207" s="27" t="s"/>
      <c r="L207" s="27" t="s"/>
      <c r="M207" s="27" t="s"/>
    </row>
    <row r="208" spans="1:13">
      <c r="A208" s="19" t="s">
        <v>351</v>
      </c>
      <c r="B208" s="19" t="s">
        <v>110</v>
      </c>
      <c r="C208" s="19" t="s">
        <v>310</v>
      </c>
      <c r="D208" s="25">
        <v>2</v>
      </c>
      <c r="E208" s="26">
        <v>1679.16</v>
      </c>
      <c r="F208" s="19" t="s">
        <v>589</v>
      </c>
      <c r="G208" s="40" t="s"/>
      <c r="H208" s="26" t="s"/>
      <c r="I208" s="19" t="s"/>
      <c r="J208" s="19" t="s"/>
      <c r="K208" s="27" t="s"/>
      <c r="L208" s="27" t="s"/>
      <c r="M208" s="27" t="s"/>
    </row>
    <row r="209" spans="1:13">
      <c r="A209" s="19" t="s">
        <v>80</v>
      </c>
      <c r="B209" s="19" t="s">
        <v>79</v>
      </c>
      <c r="C209" s="19" t="s">
        <v>312</v>
      </c>
      <c r="D209" s="25">
        <v>5</v>
      </c>
      <c r="E209" s="26">
        <v>5358.05</v>
      </c>
      <c r="F209" s="19" t="s">
        <v>658</v>
      </c>
      <c r="G209" s="40" t="s"/>
      <c r="H209" s="26" t="s"/>
      <c r="I209" s="19" t="s"/>
      <c r="J209" s="19" t="s"/>
      <c r="K209" s="27" t="s"/>
      <c r="L209" s="27" t="s"/>
      <c r="M209" s="27" t="s"/>
    </row>
    <row r="210" spans="1:13">
      <c r="A210" s="19" t="s">
        <v>80</v>
      </c>
      <c r="B210" s="19" t="s">
        <v>79</v>
      </c>
      <c r="C210" s="19" t="s">
        <v>312</v>
      </c>
      <c r="D210" s="25">
        <v>5</v>
      </c>
      <c r="E210" s="26">
        <v>5929.7</v>
      </c>
      <c r="F210" s="19" t="s">
        <v>528</v>
      </c>
      <c r="G210" s="40" t="s"/>
      <c r="H210" s="26" t="s"/>
      <c r="I210" s="19" t="s"/>
      <c r="J210" s="19" t="s"/>
      <c r="K210" s="27" t="s"/>
      <c r="L210" s="27" t="s"/>
      <c r="M210" s="27" t="s"/>
    </row>
    <row r="211" spans="1:13">
      <c r="A211" s="19" t="s">
        <v>107</v>
      </c>
      <c r="B211" s="19" t="s">
        <v>106</v>
      </c>
      <c r="C211" s="19" t="s">
        <v>310</v>
      </c>
      <c r="D211" s="25">
        <v>3</v>
      </c>
      <c r="E211" s="26">
        <v>4171.89</v>
      </c>
      <c r="F211" s="19" t="s">
        <v>686</v>
      </c>
      <c r="G211" s="40" t="s"/>
      <c r="H211" s="26" t="s"/>
      <c r="I211" s="19" t="s"/>
      <c r="J211" s="19" t="s"/>
      <c r="K211" s="27" t="s"/>
      <c r="L211" s="27" t="s"/>
      <c r="M211" s="27" t="s"/>
    </row>
    <row r="212" spans="1:13">
      <c r="A212" s="19" t="s">
        <v>80</v>
      </c>
      <c r="B212" s="19" t="s">
        <v>79</v>
      </c>
      <c r="C212" s="19" t="s">
        <v>312</v>
      </c>
      <c r="D212" s="25">
        <v>0.5</v>
      </c>
      <c r="E212" s="26">
        <v>592.97</v>
      </c>
      <c r="F212" s="19" t="s">
        <v>154</v>
      </c>
      <c r="G212" s="40" t="s"/>
      <c r="H212" s="26" t="s"/>
      <c r="I212" s="19" t="s"/>
      <c r="J212" s="19" t="s"/>
      <c r="K212" s="27" t="s"/>
      <c r="L212" s="27" t="s"/>
      <c r="M212" s="27" t="s"/>
    </row>
    <row r="213" spans="1:13">
      <c r="A213" s="19" t="s">
        <v>80</v>
      </c>
      <c r="B213" s="19" t="s">
        <v>79</v>
      </c>
      <c r="C213" s="19" t="s">
        <v>312</v>
      </c>
      <c r="D213" s="25">
        <v>0.75</v>
      </c>
      <c r="E213" s="26">
        <v>889.46</v>
      </c>
      <c r="F213" s="19" t="s">
        <v>154</v>
      </c>
      <c r="G213" s="40" t="s"/>
      <c r="H213" s="26" t="s"/>
      <c r="I213" s="19" t="s"/>
      <c r="J213" s="19" t="s"/>
      <c r="K213" s="27" t="s"/>
      <c r="L213" s="27" t="s"/>
      <c r="M213" s="27" t="s"/>
    </row>
    <row r="214" spans="1:13">
      <c r="A214" s="19" t="s">
        <v>80</v>
      </c>
      <c r="B214" s="19" t="s">
        <v>79</v>
      </c>
      <c r="C214" s="19" t="s">
        <v>312</v>
      </c>
      <c r="D214" s="25">
        <v>0.75</v>
      </c>
      <c r="E214" s="26">
        <v>889.46</v>
      </c>
      <c r="F214" s="19" t="s">
        <v>154</v>
      </c>
      <c r="G214" s="40" t="s"/>
      <c r="H214" s="26" t="s"/>
      <c r="I214" s="19" t="s"/>
      <c r="J214" s="19" t="s"/>
      <c r="K214" s="27" t="s"/>
      <c r="L214" s="27" t="s"/>
      <c r="M214" s="27" t="s"/>
    </row>
    <row r="215" spans="1:13">
      <c r="A215" s="19" t="s">
        <v>80</v>
      </c>
      <c r="B215" s="19" t="s">
        <v>79</v>
      </c>
      <c r="C215" s="19" t="s">
        <v>312</v>
      </c>
      <c r="D215" s="25">
        <v>5</v>
      </c>
      <c r="E215" s="26">
        <v>5929.7</v>
      </c>
      <c r="F215" s="19" t="s">
        <v>592</v>
      </c>
      <c r="G215" s="40" t="s"/>
      <c r="H215" s="26" t="s"/>
      <c r="I215" s="19" t="s"/>
      <c r="J215" s="19" t="s"/>
      <c r="K215" s="27" t="s"/>
      <c r="L215" s="27" t="s"/>
      <c r="M215" s="27" t="s"/>
    </row>
    <row r="216" spans="1:13">
      <c r="A216" s="19" t="s">
        <v>720</v>
      </c>
      <c r="B216" s="19" t="s">
        <v>132</v>
      </c>
      <c r="C216" s="19" t="s">
        <v>297</v>
      </c>
      <c r="D216" s="25">
        <v>0.5</v>
      </c>
      <c r="E216" s="26">
        <v>695.32</v>
      </c>
      <c r="F216" s="19" t="s">
        <v>578</v>
      </c>
      <c r="G216" s="40" t="s"/>
      <c r="H216" s="26" t="s"/>
      <c r="I216" s="19" t="s"/>
      <c r="J216" s="19" t="s"/>
      <c r="K216" s="27" t="s"/>
      <c r="L216" s="27" t="s"/>
      <c r="M216" s="27" t="s"/>
    </row>
    <row r="217" spans="1:13">
      <c r="A217" s="19" t="s">
        <v>80</v>
      </c>
      <c r="B217" s="19" t="s">
        <v>79</v>
      </c>
      <c r="C217" s="19" t="s">
        <v>312</v>
      </c>
      <c r="D217" s="25">
        <v>2</v>
      </c>
      <c r="E217" s="26">
        <v>2143.22</v>
      </c>
      <c r="F217" s="19" t="s">
        <v>562</v>
      </c>
      <c r="G217" s="40" t="s"/>
      <c r="H217" s="26" t="s"/>
      <c r="I217" s="19" t="s"/>
      <c r="J217" s="19" t="s"/>
      <c r="K217" s="27" t="s"/>
      <c r="L217" s="27" t="s"/>
      <c r="M217" s="27" t="s"/>
    </row>
    <row r="218" spans="1:13">
      <c r="A218" s="19" t="s">
        <v>351</v>
      </c>
      <c r="B218" s="19" t="s">
        <v>110</v>
      </c>
      <c r="C218" s="19" t="s">
        <v>310</v>
      </c>
      <c r="D218" s="25">
        <v>2</v>
      </c>
      <c r="E218" s="26">
        <v>2143.22</v>
      </c>
      <c r="F218" s="19" t="s">
        <v>648</v>
      </c>
      <c r="G218" s="40" t="s"/>
      <c r="H218" s="26" t="s"/>
      <c r="I218" s="19" t="s"/>
      <c r="J218" s="19" t="s"/>
      <c r="K218" s="27" t="s"/>
      <c r="L218" s="27" t="s"/>
      <c r="M218" s="27" t="s"/>
    </row>
    <row r="219" spans="1:13">
      <c r="A219" s="19" t="s">
        <v>121</v>
      </c>
      <c r="B219" s="19" t="s">
        <v>120</v>
      </c>
      <c r="C219" s="19" t="s">
        <v>297</v>
      </c>
      <c r="D219" s="25">
        <v>1</v>
      </c>
      <c r="E219" s="26">
        <v>839.58</v>
      </c>
      <c r="F219" s="19" t="s">
        <v>655</v>
      </c>
      <c r="G219" s="40" t="s"/>
      <c r="H219" s="26" t="s"/>
      <c r="I219" s="19" t="s"/>
      <c r="J219" s="19" t="s"/>
      <c r="K219" s="27" t="s"/>
      <c r="L219" s="27" t="s"/>
      <c r="M219" s="27" t="s"/>
    </row>
    <row r="220" spans="1:13">
      <c r="A220" s="19" t="s">
        <v>121</v>
      </c>
      <c r="B220" s="19" t="s">
        <v>120</v>
      </c>
      <c r="C220" s="19" t="s">
        <v>297</v>
      </c>
      <c r="D220" s="25">
        <v>1.5</v>
      </c>
      <c r="E220" s="26">
        <v>1778.91</v>
      </c>
      <c r="F220" s="19" t="s">
        <v>297</v>
      </c>
      <c r="G220" s="40" t="s"/>
      <c r="H220" s="26" t="s"/>
      <c r="I220" s="19" t="s"/>
      <c r="J220" s="19" t="s"/>
      <c r="K220" s="27" t="s"/>
      <c r="L220" s="27" t="s"/>
      <c r="M220" s="27" t="s"/>
    </row>
    <row r="221" spans="1:13">
      <c r="A221" s="19" t="s">
        <v>86</v>
      </c>
      <c r="B221" s="19" t="s">
        <v>85</v>
      </c>
      <c r="C221" s="19" t="s">
        <v>297</v>
      </c>
      <c r="D221" s="25">
        <v>1</v>
      </c>
      <c r="E221" s="26">
        <v>1185.94</v>
      </c>
      <c r="F221" s="19" t="s">
        <v>297</v>
      </c>
      <c r="G221" s="40" t="s"/>
      <c r="H221" s="26" t="s"/>
      <c r="I221" s="19" t="s"/>
      <c r="J221" s="19" t="s"/>
      <c r="K221" s="27" t="s"/>
      <c r="L221" s="27" t="s"/>
      <c r="M221" s="27" t="s"/>
    </row>
    <row r="222" spans="1:13">
      <c r="A222" s="19" t="s">
        <v>305</v>
      </c>
      <c r="B222" s="19" t="s">
        <v>112</v>
      </c>
      <c r="C222" s="19" t="s">
        <v>297</v>
      </c>
      <c r="D222" s="25">
        <v>1.5</v>
      </c>
      <c r="E222" s="26">
        <v>1778.91</v>
      </c>
      <c r="F222" s="19" t="s">
        <v>297</v>
      </c>
      <c r="G222" s="40" t="s"/>
      <c r="H222" s="26" t="s"/>
      <c r="I222" s="19" t="s"/>
      <c r="J222" s="19" t="s"/>
      <c r="K222" s="27" t="s"/>
      <c r="L222" s="27" t="s"/>
      <c r="M222" s="27" t="s"/>
    </row>
    <row r="223" spans="1:13">
      <c r="A223" s="19" t="s">
        <v>107</v>
      </c>
      <c r="B223" s="19" t="s">
        <v>106</v>
      </c>
      <c r="C223" s="19" t="s">
        <v>310</v>
      </c>
      <c r="D223" s="25">
        <v>5</v>
      </c>
      <c r="E223" s="26">
        <v>3578.15</v>
      </c>
      <c r="F223" s="19" t="s">
        <v>211</v>
      </c>
      <c r="G223" s="40" t="s"/>
      <c r="H223" s="26" t="s"/>
      <c r="I223" s="19" t="s"/>
      <c r="J223" s="19" t="s"/>
      <c r="K223" s="27" t="s"/>
      <c r="L223" s="27" t="s"/>
      <c r="M223" s="27" t="s"/>
    </row>
    <row r="224" spans="1:13">
      <c r="A224" s="19" t="s">
        <v>107</v>
      </c>
      <c r="B224" s="19" t="s">
        <v>106</v>
      </c>
      <c r="C224" s="19" t="s">
        <v>310</v>
      </c>
      <c r="D224" s="25">
        <v>5</v>
      </c>
      <c r="E224" s="26">
        <v>3578.15</v>
      </c>
      <c r="F224" s="19" t="s">
        <v>310</v>
      </c>
      <c r="G224" s="40" t="s"/>
      <c r="H224" s="26" t="s"/>
      <c r="I224" s="19" t="s"/>
      <c r="J224" s="19" t="s"/>
      <c r="K224" s="27" t="s"/>
      <c r="L224" s="27" t="s"/>
      <c r="M224" s="27" t="s"/>
    </row>
    <row r="225" spans="1:13">
      <c r="A225" s="40" t="s">
        <v>80</v>
      </c>
      <c r="B225" s="40" t="s">
        <v>79</v>
      </c>
      <c r="C225" s="40" t="s">
        <v>312</v>
      </c>
      <c r="D225" s="25">
        <v>0.5</v>
      </c>
      <c r="E225" s="26">
        <v>981.77</v>
      </c>
      <c r="F225" s="40" t="s">
        <v>158</v>
      </c>
      <c r="G225" s="40" t="s"/>
      <c r="H225" s="26" t="s"/>
      <c r="I225" s="40" t="s"/>
      <c r="J225" s="40" t="s"/>
      <c r="K225" s="27" t="s"/>
      <c r="L225" s="27" t="s"/>
      <c r="M225" s="27" t="s"/>
    </row>
    <row r="226" spans="1:7">
      <c r="A226" s="19" t="s">
        <v>305</v>
      </c>
      <c r="B226" s="19" t="s">
        <v>112</v>
      </c>
      <c r="C226" s="19" t="s">
        <v>297</v>
      </c>
      <c r="D226" s="25">
        <v>4</v>
      </c>
      <c r="E226" s="26">
        <v>5016.68</v>
      </c>
      <c r="F226" s="19" t="s">
        <v>216</v>
      </c>
      <c r="G226" s="19" t="s"/>
    </row>
    <row r="227" spans="1:7">
      <c r="A227" s="19" t="s">
        <v>135</v>
      </c>
      <c r="B227" s="19" t="s">
        <v>134</v>
      </c>
      <c r="C227" s="19" t="s">
        <v>161</v>
      </c>
      <c r="D227" s="25">
        <v>0.2</v>
      </c>
      <c r="E227" s="26">
        <v>318.54</v>
      </c>
      <c r="F227" s="19" t="s">
        <v>161</v>
      </c>
      <c r="G227" s="19" t="s"/>
    </row>
    <row r="228" spans="1:7">
      <c r="A228" s="19" t="s">
        <v>305</v>
      </c>
      <c r="B228" s="19" t="s">
        <v>112</v>
      </c>
      <c r="C228" s="19" t="s">
        <v>297</v>
      </c>
      <c r="D228" s="25">
        <v>1</v>
      </c>
      <c r="E228" s="26">
        <v>1592.71</v>
      </c>
      <c r="F228" s="19" t="s">
        <v>161</v>
      </c>
      <c r="G228" s="19" t="s"/>
    </row>
    <row r="229" spans="1:7">
      <c r="A229" s="19" t="s">
        <v>109</v>
      </c>
      <c r="B229" s="19" t="s">
        <v>108</v>
      </c>
      <c r="C229" s="19" t="s">
        <v>161</v>
      </c>
      <c r="D229" s="25">
        <v>1</v>
      </c>
      <c r="E229" s="26">
        <v>1592.71</v>
      </c>
      <c r="F229" s="19" t="s">
        <v>161</v>
      </c>
      <c r="G229" s="19" t="s"/>
    </row>
    <row r="230" spans="1:7">
      <c r="A230" s="19" t="s">
        <v>360</v>
      </c>
      <c r="B230" s="19" t="s">
        <v>116</v>
      </c>
      <c r="C230" s="19" t="s">
        <v>338</v>
      </c>
      <c r="D230" s="25">
        <v>3.5</v>
      </c>
      <c r="E230" s="26">
        <v>4389.6</v>
      </c>
      <c r="F230" s="19" t="s">
        <v>205</v>
      </c>
      <c r="G230" s="19" t="s"/>
    </row>
    <row r="231" spans="1:7">
      <c r="A231" s="19" t="s">
        <v>80</v>
      </c>
      <c r="B231" s="19" t="s">
        <v>79</v>
      </c>
      <c r="C231" s="19" t="s">
        <v>312</v>
      </c>
      <c r="D231" s="25">
        <v>1.5</v>
      </c>
      <c r="E231" s="26">
        <v>1881.26</v>
      </c>
      <c r="F231" s="19" t="s">
        <v>205</v>
      </c>
      <c r="G231" s="19" t="s"/>
    </row>
    <row r="232" spans="1:7">
      <c r="A232" s="19" t="s">
        <v>300</v>
      </c>
      <c r="B232" s="19" t="s">
        <v>100</v>
      </c>
      <c r="C232" s="19" t="s">
        <v>297</v>
      </c>
      <c r="D232" s="25">
        <v>3.5</v>
      </c>
      <c r="E232" s="26">
        <v>4150.79</v>
      </c>
      <c r="F232" s="19" t="s">
        <v>184</v>
      </c>
      <c r="G232" s="19" t="s"/>
    </row>
    <row r="233" spans="1:7">
      <c r="A233" s="19" t="s">
        <v>80</v>
      </c>
      <c r="B233" s="19" t="s">
        <v>79</v>
      </c>
      <c r="C233" s="19" t="s">
        <v>312</v>
      </c>
      <c r="D233" s="25">
        <v>4.4</v>
      </c>
      <c r="E233" s="26">
        <v>6033.94</v>
      </c>
      <c r="F233" s="19" t="s">
        <v>165</v>
      </c>
      <c r="G233" s="19" t="s"/>
    </row>
    <row r="234" spans="1:7">
      <c r="A234" s="19" t="s">
        <v>80</v>
      </c>
      <c r="B234" s="19" t="s">
        <v>79</v>
      </c>
      <c r="C234" s="19" t="s">
        <v>312</v>
      </c>
      <c r="D234" s="25">
        <v>5</v>
      </c>
      <c r="E234" s="26">
        <v>7963.55</v>
      </c>
      <c r="F234" s="19" t="s">
        <v>312</v>
      </c>
      <c r="G234" s="19" t="s"/>
    </row>
    <row r="235" spans="1:7">
      <c r="A235" s="19" t="s">
        <v>80</v>
      </c>
      <c r="B235" s="19" t="s">
        <v>79</v>
      </c>
      <c r="C235" s="19" t="s">
        <v>312</v>
      </c>
      <c r="D235" s="25">
        <v>2</v>
      </c>
      <c r="E235" s="26">
        <v>2508.34</v>
      </c>
      <c r="F235" s="19" t="s">
        <v>363</v>
      </c>
      <c r="G235" s="19" t="s"/>
    </row>
    <row r="236" spans="1:7">
      <c r="A236" s="19" t="s">
        <v>80</v>
      </c>
      <c r="B236" s="19" t="s">
        <v>79</v>
      </c>
      <c r="C236" s="19" t="s">
        <v>312</v>
      </c>
      <c r="D236" s="25">
        <v>4</v>
      </c>
      <c r="E236" s="26">
        <v>3937.52</v>
      </c>
      <c r="F236" s="19" t="s">
        <v>167</v>
      </c>
      <c r="G236" s="19" t="s"/>
    </row>
    <row r="237" spans="1:7">
      <c r="A237" s="19" t="s">
        <v>135</v>
      </c>
      <c r="B237" s="19" t="s">
        <v>134</v>
      </c>
      <c r="C237" s="19" t="s">
        <v>161</v>
      </c>
      <c r="D237" s="25">
        <v>0.8</v>
      </c>
      <c r="E237" s="26">
        <v>948.75</v>
      </c>
      <c r="F237" s="19" t="s">
        <v>429</v>
      </c>
      <c r="G237" s="19" t="s"/>
    </row>
    <row r="238" spans="1:7">
      <c r="A238" s="19" t="s">
        <v>351</v>
      </c>
      <c r="B238" s="19" t="s">
        <v>110</v>
      </c>
      <c r="C238" s="19" t="s">
        <v>310</v>
      </c>
      <c r="D238" s="25">
        <v>2</v>
      </c>
      <c r="E238" s="26">
        <v>1679.16</v>
      </c>
      <c r="F238" s="19" t="s">
        <v>589</v>
      </c>
      <c r="G238" s="19" t="s"/>
    </row>
    <row r="239" spans="1:7">
      <c r="A239" s="19" t="s">
        <v>80</v>
      </c>
      <c r="B239" s="19" t="s">
        <v>79</v>
      </c>
      <c r="C239" s="19" t="s">
        <v>312</v>
      </c>
      <c r="D239" s="25">
        <v>3</v>
      </c>
      <c r="E239" s="26">
        <v>3214.83</v>
      </c>
      <c r="F239" s="19" t="s">
        <v>658</v>
      </c>
      <c r="G239" s="19" t="s"/>
    </row>
    <row r="240" spans="1:7">
      <c r="A240" s="19" t="s">
        <v>80</v>
      </c>
      <c r="B240" s="19" t="s">
        <v>79</v>
      </c>
      <c r="C240" s="19" t="s">
        <v>312</v>
      </c>
      <c r="D240" s="25">
        <v>1</v>
      </c>
      <c r="E240" s="26">
        <v>1071.61</v>
      </c>
      <c r="F240" s="19" t="s">
        <v>658</v>
      </c>
      <c r="G240" s="19" t="s"/>
    </row>
    <row r="241" spans="1:7">
      <c r="A241" s="19" t="s">
        <v>340</v>
      </c>
      <c r="B241" s="19" t="s">
        <v>98</v>
      </c>
      <c r="C241" s="19" t="s">
        <v>338</v>
      </c>
      <c r="D241" s="25">
        <v>1.5</v>
      </c>
      <c r="E241" s="26">
        <v>1259.37</v>
      </c>
      <c r="F241" s="19" t="s">
        <v>575</v>
      </c>
      <c r="G241" s="19" t="s"/>
    </row>
    <row r="242" spans="1:7">
      <c r="A242" s="19" t="s">
        <v>340</v>
      </c>
      <c r="B242" s="19" t="s">
        <v>98</v>
      </c>
      <c r="C242" s="19" t="s">
        <v>338</v>
      </c>
      <c r="D242" s="25">
        <v>1</v>
      </c>
      <c r="E242" s="26">
        <v>839.58</v>
      </c>
      <c r="F242" s="19" t="s">
        <v>641</v>
      </c>
      <c r="G242" s="19" t="s"/>
    </row>
    <row r="243" spans="1:7">
      <c r="A243" s="19" t="s">
        <v>351</v>
      </c>
      <c r="B243" s="19" t="s">
        <v>110</v>
      </c>
      <c r="C243" s="19" t="s">
        <v>310</v>
      </c>
      <c r="D243" s="25">
        <v>2</v>
      </c>
      <c r="E243" s="26">
        <v>2371.88</v>
      </c>
      <c r="F243" s="19" t="s">
        <v>528</v>
      </c>
      <c r="G243" s="19" t="s"/>
    </row>
    <row r="244" spans="1:7">
      <c r="A244" s="19" t="s">
        <v>80</v>
      </c>
      <c r="B244" s="19" t="s">
        <v>79</v>
      </c>
      <c r="C244" s="19" t="s">
        <v>312</v>
      </c>
      <c r="D244" s="25">
        <v>2</v>
      </c>
      <c r="E244" s="26">
        <v>2371.88</v>
      </c>
      <c r="F244" s="19" t="s">
        <v>528</v>
      </c>
      <c r="G244" s="19" t="s"/>
    </row>
    <row r="245" spans="1:7">
      <c r="A245" s="19" t="s">
        <v>305</v>
      </c>
      <c r="B245" s="19" t="s">
        <v>112</v>
      </c>
      <c r="C245" s="19" t="s">
        <v>297</v>
      </c>
      <c r="D245" s="25">
        <v>4</v>
      </c>
      <c r="E245" s="26">
        <v>5562.52</v>
      </c>
      <c r="F245" s="19" t="s">
        <v>664</v>
      </c>
      <c r="G245" s="19" t="s"/>
    </row>
    <row r="246" spans="1:7">
      <c r="A246" s="19" t="s">
        <v>107</v>
      </c>
      <c r="B246" s="19" t="s">
        <v>106</v>
      </c>
      <c r="C246" s="19" t="s">
        <v>310</v>
      </c>
      <c r="D246" s="25">
        <v>4</v>
      </c>
      <c r="E246" s="26">
        <v>5562.52</v>
      </c>
      <c r="F246" s="19" t="s">
        <v>686</v>
      </c>
      <c r="G246" s="19" t="s"/>
    </row>
    <row r="247" spans="1:7">
      <c r="A247" s="19" t="s">
        <v>351</v>
      </c>
      <c r="B247" s="19" t="s">
        <v>110</v>
      </c>
      <c r="C247" s="19" t="s">
        <v>310</v>
      </c>
      <c r="D247" s="25">
        <v>1</v>
      </c>
      <c r="E247" s="26">
        <v>715.63</v>
      </c>
      <c r="F247" s="19" t="s">
        <v>702</v>
      </c>
      <c r="G247" s="19" t="s"/>
    </row>
    <row r="248" spans="1:7">
      <c r="A248" s="19" t="s">
        <v>80</v>
      </c>
      <c r="B248" s="19" t="s">
        <v>79</v>
      </c>
      <c r="C248" s="19" t="s">
        <v>312</v>
      </c>
      <c r="D248" s="25">
        <v>2</v>
      </c>
      <c r="E248" s="26">
        <v>2371.88</v>
      </c>
      <c r="F248" s="19" t="s">
        <v>154</v>
      </c>
      <c r="G248" s="19" t="s"/>
    </row>
    <row r="249" spans="1:7">
      <c r="A249" s="19" t="s">
        <v>80</v>
      </c>
      <c r="B249" s="19" t="s">
        <v>79</v>
      </c>
      <c r="C249" s="19" t="s">
        <v>312</v>
      </c>
      <c r="D249" s="25">
        <v>5</v>
      </c>
      <c r="E249" s="26">
        <v>5929.7</v>
      </c>
      <c r="F249" s="19" t="s">
        <v>592</v>
      </c>
      <c r="G249" s="19" t="s"/>
    </row>
    <row r="250" spans="1:7">
      <c r="A250" s="19" t="s">
        <v>80</v>
      </c>
      <c r="B250" s="19" t="s">
        <v>79</v>
      </c>
      <c r="C250" s="19" t="s">
        <v>312</v>
      </c>
      <c r="D250" s="25">
        <v>5</v>
      </c>
      <c r="E250" s="26">
        <v>5358.05</v>
      </c>
      <c r="F250" s="19" t="s">
        <v>562</v>
      </c>
      <c r="G250" s="19" t="s"/>
    </row>
    <row r="251" spans="1:7">
      <c r="A251" s="19" t="s">
        <v>80</v>
      </c>
      <c r="B251" s="19" t="s">
        <v>79</v>
      </c>
      <c r="C251" s="19" t="s">
        <v>312</v>
      </c>
      <c r="D251" s="25">
        <v>1</v>
      </c>
      <c r="E251" s="26">
        <v>1071.61</v>
      </c>
      <c r="F251" s="19" t="s">
        <v>562</v>
      </c>
      <c r="G251" s="19" t="s"/>
    </row>
    <row r="252" spans="1:7">
      <c r="A252" s="19" t="s">
        <v>351</v>
      </c>
      <c r="B252" s="19" t="s">
        <v>110</v>
      </c>
      <c r="C252" s="19" t="s">
        <v>310</v>
      </c>
      <c r="D252" s="25">
        <v>6</v>
      </c>
      <c r="E252" s="26">
        <v>6429.66</v>
      </c>
      <c r="F252" s="19" t="s">
        <v>648</v>
      </c>
      <c r="G252" s="19" t="s"/>
    </row>
    <row r="253" spans="1:7">
      <c r="A253" s="19" t="s">
        <v>82</v>
      </c>
      <c r="B253" s="19" t="s">
        <v>81</v>
      </c>
      <c r="C253" s="19" t="s">
        <v>312</v>
      </c>
      <c r="D253" s="25">
        <v>3</v>
      </c>
      <c r="E253" s="26">
        <v>2518.74</v>
      </c>
      <c r="F253" s="19" t="s">
        <v>655</v>
      </c>
      <c r="G253" s="19" t="s"/>
    </row>
    <row r="254" spans="1:7">
      <c r="A254" s="19" t="s">
        <v>351</v>
      </c>
      <c r="B254" s="19" t="s">
        <v>110</v>
      </c>
      <c r="C254" s="19" t="s">
        <v>310</v>
      </c>
      <c r="D254" s="25">
        <v>2</v>
      </c>
      <c r="E254" s="26">
        <v>1679.16</v>
      </c>
      <c r="F254" s="19" t="s">
        <v>655</v>
      </c>
      <c r="G254" s="19" t="s"/>
    </row>
    <row r="255" spans="1:7">
      <c r="A255" s="19" t="s">
        <v>305</v>
      </c>
      <c r="B255" s="19" t="s">
        <v>112</v>
      </c>
      <c r="C255" s="19" t="s">
        <v>297</v>
      </c>
      <c r="D255" s="25">
        <v>1</v>
      </c>
      <c r="E255" s="26">
        <v>1185.94</v>
      </c>
      <c r="F255" s="19" t="s">
        <v>297</v>
      </c>
      <c r="G255" s="19" t="s"/>
    </row>
    <row r="256" spans="1:7">
      <c r="A256" s="19" t="s">
        <v>121</v>
      </c>
      <c r="B256" s="19" t="s">
        <v>120</v>
      </c>
      <c r="C256" s="19" t="s">
        <v>297</v>
      </c>
      <c r="D256" s="25">
        <v>1</v>
      </c>
      <c r="E256" s="26">
        <v>1185.94</v>
      </c>
      <c r="F256" s="19" t="s">
        <v>297</v>
      </c>
      <c r="G256" s="19" t="s"/>
    </row>
    <row r="257" spans="1:7">
      <c r="A257" s="19" t="s">
        <v>303</v>
      </c>
      <c r="B257" s="19" t="s">
        <v>89</v>
      </c>
      <c r="C257" s="19" t="s">
        <v>297</v>
      </c>
      <c r="D257" s="25">
        <v>1</v>
      </c>
      <c r="E257" s="26">
        <v>1185.94</v>
      </c>
      <c r="F257" s="19" t="s">
        <v>297</v>
      </c>
      <c r="G257" s="19" t="s"/>
    </row>
    <row r="258" spans="1:7">
      <c r="A258" s="19" t="s">
        <v>107</v>
      </c>
      <c r="B258" s="19" t="s">
        <v>106</v>
      </c>
      <c r="C258" s="19" t="s">
        <v>310</v>
      </c>
      <c r="D258" s="25">
        <v>2</v>
      </c>
      <c r="E258" s="26">
        <v>1431.26</v>
      </c>
      <c r="F258" s="19" t="s">
        <v>211</v>
      </c>
      <c r="G258" s="19" t="s"/>
    </row>
    <row r="259" spans="1:7">
      <c r="A259" s="19" t="s">
        <v>80</v>
      </c>
      <c r="B259" s="19" t="s">
        <v>79</v>
      </c>
      <c r="C259" s="19" t="s">
        <v>312</v>
      </c>
      <c r="D259" s="25">
        <v>0.5</v>
      </c>
      <c r="E259" s="26">
        <v>357.82</v>
      </c>
      <c r="F259" s="19" t="s">
        <v>211</v>
      </c>
      <c r="G259" s="19" t="s"/>
    </row>
    <row r="260" spans="1:7">
      <c r="A260" s="19" t="s">
        <v>80</v>
      </c>
      <c r="B260" s="19" t="s">
        <v>79</v>
      </c>
      <c r="C260" s="19" t="s">
        <v>312</v>
      </c>
      <c r="D260" s="25">
        <v>3</v>
      </c>
      <c r="E260" s="26">
        <v>2146.89</v>
      </c>
      <c r="F260" s="19" t="s">
        <v>211</v>
      </c>
      <c r="G260" s="19" t="s"/>
    </row>
    <row r="261" spans="1:7">
      <c r="A261" s="19" t="s">
        <v>351</v>
      </c>
      <c r="B261" s="19" t="s">
        <v>110</v>
      </c>
      <c r="C261" s="19" t="s">
        <v>310</v>
      </c>
      <c r="D261" s="25">
        <v>4</v>
      </c>
      <c r="E261" s="26">
        <v>2862.52</v>
      </c>
      <c r="F261" s="19" t="s">
        <v>310</v>
      </c>
      <c r="G261" s="19" t="s"/>
    </row>
    <row r="262" spans="1:7">
      <c r="A262" s="19" t="s">
        <v>80</v>
      </c>
      <c r="B262" s="19" t="s">
        <v>79</v>
      </c>
      <c r="C262" s="19" t="s">
        <v>312</v>
      </c>
      <c r="D262" s="25">
        <v>0.5</v>
      </c>
      <c r="E262" s="26">
        <v>981.77</v>
      </c>
      <c r="F262" s="19" t="s">
        <v>158</v>
      </c>
      <c r="G262" s="19" t="s"/>
    </row>
    <row r="263" spans="1:7">
      <c r="A263" s="19" t="s">
        <v>305</v>
      </c>
      <c r="B263" s="19" t="s">
        <v>112</v>
      </c>
      <c r="C263" s="19" t="s">
        <v>297</v>
      </c>
      <c r="D263" s="25">
        <v>4.5</v>
      </c>
      <c r="E263" s="26">
        <v>5643.77</v>
      </c>
      <c r="F263" s="19" t="s">
        <v>216</v>
      </c>
      <c r="G263" s="19" t="s"/>
    </row>
    <row r="264" spans="1:7">
      <c r="A264" s="19" t="s">
        <v>305</v>
      </c>
      <c r="B264" s="19" t="s">
        <v>112</v>
      </c>
      <c r="C264" s="19" t="s">
        <v>297</v>
      </c>
      <c r="D264" s="25">
        <v>0.4</v>
      </c>
      <c r="E264" s="26">
        <v>637.08</v>
      </c>
      <c r="F264" s="19" t="s">
        <v>161</v>
      </c>
      <c r="G264" s="19" t="s"/>
    </row>
    <row r="265" spans="1:7">
      <c r="A265" s="19" t="s">
        <v>109</v>
      </c>
      <c r="B265" s="19" t="s">
        <v>108</v>
      </c>
      <c r="C265" s="19" t="s">
        <v>161</v>
      </c>
      <c r="D265" s="25">
        <v>0.6</v>
      </c>
      <c r="E265" s="26">
        <v>955.63</v>
      </c>
      <c r="F265" s="19" t="s">
        <v>161</v>
      </c>
      <c r="G265" s="19" t="s"/>
    </row>
    <row r="266" spans="1:7">
      <c r="A266" s="19" t="s">
        <v>360</v>
      </c>
      <c r="B266" s="19" t="s">
        <v>116</v>
      </c>
      <c r="C266" s="19" t="s">
        <v>338</v>
      </c>
      <c r="D266" s="25">
        <v>1.5</v>
      </c>
      <c r="E266" s="26">
        <v>1881.26</v>
      </c>
      <c r="F266" s="19" t="s">
        <v>205</v>
      </c>
      <c r="G266" s="19" t="s"/>
    </row>
    <row r="267" spans="1:7">
      <c r="A267" s="19" t="s">
        <v>307</v>
      </c>
      <c r="B267" s="19" t="s">
        <v>96</v>
      </c>
      <c r="C267" s="19" t="s">
        <v>297</v>
      </c>
      <c r="D267" s="25">
        <v>2.5</v>
      </c>
      <c r="E267" s="26">
        <v>2964.85</v>
      </c>
      <c r="F267" s="19" t="s">
        <v>184</v>
      </c>
      <c r="G267" s="19" t="s"/>
    </row>
    <row r="268" spans="1:7">
      <c r="A268" s="19" t="s">
        <v>80</v>
      </c>
      <c r="B268" s="19" t="s">
        <v>79</v>
      </c>
      <c r="C268" s="19" t="s">
        <v>312</v>
      </c>
      <c r="D268" s="25">
        <v>6</v>
      </c>
      <c r="E268" s="26">
        <v>9556.26</v>
      </c>
      <c r="F268" s="19" t="s">
        <v>312</v>
      </c>
      <c r="G268" s="19" t="s"/>
    </row>
    <row r="269" spans="1:7">
      <c r="A269" s="19" t="s">
        <v>340</v>
      </c>
      <c r="B269" s="19" t="s">
        <v>98</v>
      </c>
      <c r="C269" s="19" t="s">
        <v>338</v>
      </c>
      <c r="D269" s="25">
        <v>3</v>
      </c>
      <c r="E269" s="26">
        <v>3557.82</v>
      </c>
      <c r="F269" s="19" t="s">
        <v>338</v>
      </c>
      <c r="G269" s="19" t="s"/>
    </row>
    <row r="270" spans="1:7">
      <c r="A270" s="19" t="s">
        <v>340</v>
      </c>
      <c r="B270" s="19" t="s">
        <v>98</v>
      </c>
      <c r="C270" s="19" t="s">
        <v>338</v>
      </c>
      <c r="D270" s="25">
        <v>3</v>
      </c>
      <c r="E270" s="26">
        <v>3557.82</v>
      </c>
      <c r="F270" s="19" t="s">
        <v>338</v>
      </c>
      <c r="G270" s="19" t="s"/>
    </row>
    <row r="271" spans="1:7">
      <c r="A271" s="19" t="s">
        <v>80</v>
      </c>
      <c r="B271" s="19" t="s">
        <v>79</v>
      </c>
      <c r="C271" s="19" t="s">
        <v>312</v>
      </c>
      <c r="D271" s="25">
        <v>1</v>
      </c>
      <c r="E271" s="26">
        <v>1254.17</v>
      </c>
      <c r="F271" s="19" t="s">
        <v>363</v>
      </c>
      <c r="G271" s="19" t="s"/>
    </row>
    <row r="272" spans="1:7">
      <c r="A272" s="19" t="s">
        <v>103</v>
      </c>
      <c r="B272" s="19" t="s">
        <v>102</v>
      </c>
      <c r="C272" s="19" t="s">
        <v>338</v>
      </c>
      <c r="D272" s="25">
        <v>0.5</v>
      </c>
      <c r="E272" s="26">
        <v>627.09</v>
      </c>
      <c r="F272" s="19" t="s">
        <v>363</v>
      </c>
      <c r="G272" s="19" t="s"/>
    </row>
    <row r="273" spans="1:7">
      <c r="A273" s="19" t="s">
        <v>80</v>
      </c>
      <c r="B273" s="19" t="s">
        <v>79</v>
      </c>
      <c r="C273" s="19" t="s">
        <v>312</v>
      </c>
      <c r="D273" s="25">
        <v>0.5</v>
      </c>
      <c r="E273" s="26">
        <v>627.09</v>
      </c>
      <c r="F273" s="19" t="s">
        <v>363</v>
      </c>
      <c r="G273" s="19" t="s"/>
    </row>
    <row r="274" spans="1:7">
      <c r="A274" s="19" t="s">
        <v>303</v>
      </c>
      <c r="B274" s="19" t="s">
        <v>89</v>
      </c>
      <c r="C274" s="19" t="s">
        <v>297</v>
      </c>
      <c r="D274" s="25">
        <v>1</v>
      </c>
      <c r="E274" s="26">
        <v>1254.17</v>
      </c>
      <c r="F274" s="19" t="s">
        <v>363</v>
      </c>
      <c r="G274" s="19" t="s"/>
    </row>
    <row r="275" spans="1:7">
      <c r="A275" s="19" t="s">
        <v>80</v>
      </c>
      <c r="B275" s="19" t="s">
        <v>79</v>
      </c>
      <c r="C275" s="19" t="s">
        <v>312</v>
      </c>
      <c r="D275" s="25">
        <v>4</v>
      </c>
      <c r="E275" s="26">
        <v>3937.52</v>
      </c>
      <c r="F275" s="19" t="s">
        <v>167</v>
      </c>
      <c r="G275" s="19" t="s"/>
    </row>
    <row r="276" spans="1:7">
      <c r="A276" s="19" t="s">
        <v>135</v>
      </c>
      <c r="B276" s="19" t="s">
        <v>134</v>
      </c>
      <c r="C276" s="19" t="s">
        <v>161</v>
      </c>
      <c r="D276" s="25">
        <v>1.6</v>
      </c>
      <c r="E276" s="26">
        <v>1897.5</v>
      </c>
      <c r="F276" s="19" t="s">
        <v>429</v>
      </c>
      <c r="G276" s="19" t="s"/>
    </row>
    <row r="277" spans="1:7">
      <c r="A277" s="19" t="s">
        <v>340</v>
      </c>
      <c r="B277" s="19" t="s">
        <v>98</v>
      </c>
      <c r="C277" s="19" t="s">
        <v>338</v>
      </c>
      <c r="D277" s="25">
        <v>1.5</v>
      </c>
      <c r="E277" s="26">
        <v>1073.45</v>
      </c>
      <c r="F277" s="19" t="s">
        <v>856</v>
      </c>
      <c r="G277" s="19" t="s"/>
    </row>
    <row r="278" spans="1:7">
      <c r="A278" s="19" t="s">
        <v>107</v>
      </c>
      <c r="B278" s="19" t="s">
        <v>106</v>
      </c>
      <c r="C278" s="19" t="s">
        <v>310</v>
      </c>
      <c r="D278" s="25">
        <v>0.5</v>
      </c>
      <c r="E278" s="26">
        <v>492.19</v>
      </c>
      <c r="F278" s="19" t="s">
        <v>635</v>
      </c>
      <c r="G278" s="19" t="s"/>
    </row>
    <row r="279" spans="1:7">
      <c r="A279" s="19" t="s">
        <v>103</v>
      </c>
      <c r="B279" s="19" t="s">
        <v>102</v>
      </c>
      <c r="C279" s="19" t="s">
        <v>338</v>
      </c>
      <c r="D279" s="25">
        <v>1</v>
      </c>
      <c r="E279" s="26">
        <v>715.63</v>
      </c>
      <c r="F279" s="19" t="s">
        <v>742</v>
      </c>
      <c r="G279" s="19" t="s"/>
    </row>
    <row r="280" spans="1:7">
      <c r="A280" s="19" t="s">
        <v>121</v>
      </c>
      <c r="B280" s="19" t="s">
        <v>120</v>
      </c>
      <c r="C280" s="19" t="s">
        <v>297</v>
      </c>
      <c r="D280" s="25">
        <v>1</v>
      </c>
      <c r="E280" s="26">
        <v>1371.35</v>
      </c>
      <c r="F280" s="19" t="s">
        <v>638</v>
      </c>
      <c r="G280" s="19" t="s"/>
    </row>
    <row r="281" spans="1:7">
      <c r="A281" s="19" t="s">
        <v>309</v>
      </c>
      <c r="B281" s="19" t="s">
        <v>118</v>
      </c>
      <c r="C281" s="19" t="s">
        <v>310</v>
      </c>
      <c r="D281" s="25">
        <v>0.5</v>
      </c>
      <c r="E281" s="26">
        <v>685.68</v>
      </c>
      <c r="F281" s="19" t="s">
        <v>638</v>
      </c>
      <c r="G281" s="19" t="s"/>
    </row>
    <row r="282" spans="1:7">
      <c r="A282" s="19" t="s">
        <v>351</v>
      </c>
      <c r="B282" s="19" t="s">
        <v>110</v>
      </c>
      <c r="C282" s="19" t="s">
        <v>310</v>
      </c>
      <c r="D282" s="25">
        <v>5</v>
      </c>
      <c r="E282" s="26">
        <v>4197.9</v>
      </c>
      <c r="F282" s="19" t="s">
        <v>589</v>
      </c>
      <c r="G282" s="19" t="s"/>
    </row>
    <row r="283" spans="1:7">
      <c r="A283" s="19" t="s">
        <v>80</v>
      </c>
      <c r="B283" s="19" t="s">
        <v>79</v>
      </c>
      <c r="C283" s="19" t="s">
        <v>312</v>
      </c>
      <c r="D283" s="25">
        <v>3</v>
      </c>
      <c r="E283" s="26">
        <v>3214.83</v>
      </c>
      <c r="F283" s="19" t="s">
        <v>658</v>
      </c>
      <c r="G283" s="19" t="s"/>
    </row>
    <row r="284" spans="1:7">
      <c r="A284" s="19" t="s">
        <v>80</v>
      </c>
      <c r="B284" s="19" t="s">
        <v>79</v>
      </c>
      <c r="C284" s="19" t="s">
        <v>312</v>
      </c>
      <c r="D284" s="25">
        <v>2</v>
      </c>
      <c r="E284" s="26">
        <v>1679.16</v>
      </c>
      <c r="F284" s="19" t="s">
        <v>641</v>
      </c>
      <c r="G284" s="19" t="s"/>
    </row>
    <row r="285" spans="1:7">
      <c r="A285" s="19" t="s">
        <v>80</v>
      </c>
      <c r="B285" s="19" t="s">
        <v>79</v>
      </c>
      <c r="C285" s="19" t="s">
        <v>312</v>
      </c>
      <c r="D285" s="25">
        <v>2.5</v>
      </c>
      <c r="E285" s="26">
        <v>2964.85</v>
      </c>
      <c r="F285" s="19" t="s">
        <v>528</v>
      </c>
      <c r="G285" s="19" t="s"/>
    </row>
    <row r="286" spans="1:7">
      <c r="A286" s="19" t="s">
        <v>351</v>
      </c>
      <c r="B286" s="19" t="s">
        <v>110</v>
      </c>
      <c r="C286" s="19" t="s">
        <v>310</v>
      </c>
      <c r="D286" s="25">
        <v>1.5</v>
      </c>
      <c r="E286" s="26">
        <v>2085.95</v>
      </c>
      <c r="F286" s="19" t="s">
        <v>664</v>
      </c>
      <c r="G286" s="19" t="s"/>
    </row>
    <row r="287" spans="1:7">
      <c r="A287" s="19" t="s">
        <v>307</v>
      </c>
      <c r="B287" s="19" t="s">
        <v>96</v>
      </c>
      <c r="C287" s="19" t="s">
        <v>297</v>
      </c>
      <c r="D287" s="25">
        <v>5</v>
      </c>
      <c r="E287" s="26">
        <v>3578.15</v>
      </c>
      <c r="F287" s="19" t="s">
        <v>702</v>
      </c>
      <c r="G287" s="19" t="s"/>
    </row>
    <row r="288" spans="1:7">
      <c r="A288" s="19" t="s">
        <v>95</v>
      </c>
      <c r="B288" s="19" t="s">
        <v>94</v>
      </c>
      <c r="C288" s="19" t="s">
        <v>310</v>
      </c>
      <c r="D288" s="25">
        <v>1</v>
      </c>
      <c r="E288" s="26">
        <v>715.63</v>
      </c>
      <c r="F288" s="19" t="s">
        <v>442</v>
      </c>
      <c r="G288" s="19" t="s"/>
    </row>
    <row r="289" spans="1:7">
      <c r="A289" s="19" t="s">
        <v>318</v>
      </c>
      <c r="B289" s="19" t="s">
        <v>126</v>
      </c>
      <c r="C289" s="19" t="s">
        <v>161</v>
      </c>
      <c r="D289" s="25">
        <v>3</v>
      </c>
      <c r="E289" s="26">
        <v>2146.89</v>
      </c>
      <c r="F289" s="19" t="s">
        <v>442</v>
      </c>
      <c r="G289" s="19" t="s"/>
    </row>
    <row r="290" spans="1:7">
      <c r="A290" s="19" t="s">
        <v>80</v>
      </c>
      <c r="B290" s="19" t="s">
        <v>79</v>
      </c>
      <c r="C290" s="19" t="s">
        <v>312</v>
      </c>
      <c r="D290" s="25">
        <v>1</v>
      </c>
      <c r="E290" s="26">
        <v>1185.94</v>
      </c>
      <c r="F290" s="19" t="s">
        <v>154</v>
      </c>
      <c r="G290" s="19" t="s"/>
    </row>
    <row r="291" spans="1:7">
      <c r="A291" s="19" t="s">
        <v>80</v>
      </c>
      <c r="B291" s="19" t="s">
        <v>79</v>
      </c>
      <c r="C291" s="19" t="s">
        <v>312</v>
      </c>
      <c r="D291" s="25">
        <v>2</v>
      </c>
      <c r="E291" s="26">
        <v>2371.88</v>
      </c>
      <c r="F291" s="19" t="s">
        <v>154</v>
      </c>
      <c r="G291" s="19" t="s"/>
    </row>
    <row r="292" spans="1:7">
      <c r="A292" s="19" t="s">
        <v>80</v>
      </c>
      <c r="B292" s="19" t="s">
        <v>79</v>
      </c>
      <c r="C292" s="19" t="s">
        <v>312</v>
      </c>
      <c r="D292" s="25">
        <v>5</v>
      </c>
      <c r="E292" s="26">
        <v>5929.7</v>
      </c>
      <c r="F292" s="19" t="s">
        <v>592</v>
      </c>
      <c r="G292" s="19" t="s"/>
    </row>
    <row r="293" spans="1:7">
      <c r="A293" s="19" t="s">
        <v>80</v>
      </c>
      <c r="B293" s="19" t="s">
        <v>79</v>
      </c>
      <c r="C293" s="19" t="s">
        <v>312</v>
      </c>
      <c r="D293" s="25">
        <v>1</v>
      </c>
      <c r="E293" s="26">
        <v>984.38</v>
      </c>
      <c r="F293" s="19" t="s">
        <v>667</v>
      </c>
      <c r="G293" s="19" t="s"/>
    </row>
    <row r="294" spans="1:7">
      <c r="A294" s="19" t="s">
        <v>80</v>
      </c>
      <c r="B294" s="19" t="s">
        <v>79</v>
      </c>
      <c r="C294" s="19" t="s">
        <v>312</v>
      </c>
      <c r="D294" s="25">
        <v>2</v>
      </c>
      <c r="E294" s="26">
        <v>2143.22</v>
      </c>
      <c r="F294" s="19" t="s">
        <v>562</v>
      </c>
      <c r="G294" s="19" t="s"/>
    </row>
    <row r="295" spans="1:7">
      <c r="A295" s="19" t="s">
        <v>351</v>
      </c>
      <c r="B295" s="19" t="s">
        <v>110</v>
      </c>
      <c r="C295" s="19" t="s">
        <v>310</v>
      </c>
      <c r="D295" s="25">
        <v>5</v>
      </c>
      <c r="E295" s="26">
        <v>5358.05</v>
      </c>
      <c r="F295" s="19" t="s">
        <v>648</v>
      </c>
      <c r="G295" s="19" t="s"/>
    </row>
    <row r="296" spans="1:7">
      <c r="A296" s="19" t="s">
        <v>351</v>
      </c>
      <c r="B296" s="19" t="s">
        <v>110</v>
      </c>
      <c r="C296" s="19" t="s">
        <v>310</v>
      </c>
      <c r="D296" s="25">
        <v>5</v>
      </c>
      <c r="E296" s="26">
        <v>4197.9</v>
      </c>
      <c r="F296" s="19" t="s">
        <v>655</v>
      </c>
      <c r="G296" s="19" t="s"/>
    </row>
    <row r="297" spans="1:7">
      <c r="A297" s="19" t="s">
        <v>303</v>
      </c>
      <c r="B297" s="19" t="s">
        <v>89</v>
      </c>
      <c r="C297" s="19" t="s">
        <v>297</v>
      </c>
      <c r="D297" s="25">
        <v>1</v>
      </c>
      <c r="E297" s="26">
        <v>1185.94</v>
      </c>
      <c r="F297" s="19" t="s">
        <v>297</v>
      </c>
      <c r="G297" s="19" t="s"/>
    </row>
    <row r="298" spans="1:7">
      <c r="A298" s="19" t="s">
        <v>416</v>
      </c>
      <c r="B298" s="19" t="s">
        <v>122</v>
      </c>
      <c r="C298" s="19" t="s">
        <v>297</v>
      </c>
      <c r="D298" s="25">
        <v>0.5</v>
      </c>
      <c r="E298" s="26">
        <v>592.97</v>
      </c>
      <c r="F298" s="19" t="s">
        <v>297</v>
      </c>
      <c r="G298" s="19" t="s"/>
    </row>
    <row r="299" spans="1:7">
      <c r="A299" s="19" t="s">
        <v>139</v>
      </c>
      <c r="B299" s="19" t="s">
        <v>138</v>
      </c>
      <c r="C299" s="19" t="s">
        <v>297</v>
      </c>
      <c r="D299" s="25">
        <v>0.5</v>
      </c>
      <c r="E299" s="26">
        <v>592.97</v>
      </c>
      <c r="F299" s="19" t="s">
        <v>297</v>
      </c>
      <c r="G299" s="19" t="s"/>
    </row>
    <row r="300" spans="1:7">
      <c r="A300" s="19" t="s">
        <v>121</v>
      </c>
      <c r="B300" s="19" t="s">
        <v>120</v>
      </c>
      <c r="C300" s="19" t="s">
        <v>297</v>
      </c>
      <c r="D300" s="25">
        <v>1.5</v>
      </c>
      <c r="E300" s="26">
        <v>1778.91</v>
      </c>
      <c r="F300" s="19" t="s">
        <v>297</v>
      </c>
      <c r="G300" s="19" t="s"/>
    </row>
    <row r="301" spans="1:7">
      <c r="A301" s="19" t="s">
        <v>88</v>
      </c>
      <c r="B301" s="19" t="s">
        <v>87</v>
      </c>
      <c r="C301" s="19" t="s">
        <v>297</v>
      </c>
      <c r="D301" s="25">
        <v>0.5</v>
      </c>
      <c r="E301" s="26">
        <v>592.97</v>
      </c>
      <c r="F301" s="19" t="s">
        <v>297</v>
      </c>
      <c r="G301" s="19" t="s"/>
    </row>
    <row r="302" spans="1:7">
      <c r="A302" s="19" t="s">
        <v>305</v>
      </c>
      <c r="B302" s="19" t="s">
        <v>112</v>
      </c>
      <c r="C302" s="19" t="s">
        <v>297</v>
      </c>
      <c r="D302" s="25">
        <v>1</v>
      </c>
      <c r="E302" s="26">
        <v>1185.94</v>
      </c>
      <c r="F302" s="19" t="s">
        <v>297</v>
      </c>
      <c r="G302" s="19" t="s"/>
    </row>
    <row r="303" spans="1:7">
      <c r="A303" s="19" t="s">
        <v>80</v>
      </c>
      <c r="B303" s="19" t="s">
        <v>79</v>
      </c>
      <c r="C303" s="19" t="s">
        <v>312</v>
      </c>
      <c r="D303" s="25">
        <v>2.2</v>
      </c>
      <c r="E303" s="26">
        <v>1574.39</v>
      </c>
      <c r="F303" s="19" t="s">
        <v>211</v>
      </c>
      <c r="G303" s="19" t="s"/>
    </row>
    <row r="304" spans="1:7">
      <c r="A304" s="19" t="s">
        <v>107</v>
      </c>
      <c r="B304" s="19" t="s">
        <v>106</v>
      </c>
      <c r="C304" s="19" t="s">
        <v>310</v>
      </c>
      <c r="D304" s="25">
        <v>5</v>
      </c>
      <c r="E304" s="26">
        <v>3578.15</v>
      </c>
      <c r="F304" s="19" t="s">
        <v>310</v>
      </c>
      <c r="G304" s="19" t="s"/>
    </row>
    <row r="305" spans="1:7">
      <c r="A305" s="19" t="s">
        <v>80</v>
      </c>
      <c r="B305" s="19" t="s">
        <v>79</v>
      </c>
      <c r="C305" s="19" t="s">
        <v>312</v>
      </c>
      <c r="D305" s="25">
        <v>1</v>
      </c>
      <c r="E305" s="26">
        <v>1963.54</v>
      </c>
      <c r="F305" s="19" t="s">
        <v>158</v>
      </c>
      <c r="G305" s="19" t="s"/>
    </row>
    <row r="306" spans="1:7">
      <c r="A306" s="19" t="s">
        <v>305</v>
      </c>
      <c r="B306" s="19" t="s">
        <v>112</v>
      </c>
      <c r="C306" s="19" t="s">
        <v>297</v>
      </c>
      <c r="D306" s="25">
        <v>3</v>
      </c>
      <c r="E306" s="26">
        <v>3762.51</v>
      </c>
      <c r="F306" s="19" t="s">
        <v>216</v>
      </c>
      <c r="G306" s="19" t="s"/>
    </row>
    <row r="307" spans="1:7">
      <c r="A307" s="19" t="s">
        <v>305</v>
      </c>
      <c r="B307" s="19" t="s">
        <v>112</v>
      </c>
      <c r="C307" s="19" t="s">
        <v>297</v>
      </c>
      <c r="D307" s="25">
        <v>0.2</v>
      </c>
      <c r="E307" s="26">
        <v>318.54</v>
      </c>
      <c r="F307" s="19" t="s">
        <v>161</v>
      </c>
      <c r="G307" s="19" t="s"/>
    </row>
    <row r="308" spans="1:7">
      <c r="A308" s="19" t="s">
        <v>360</v>
      </c>
      <c r="B308" s="19" t="s">
        <v>116</v>
      </c>
      <c r="C308" s="19" t="s">
        <v>338</v>
      </c>
      <c r="D308" s="25">
        <v>2.5</v>
      </c>
      <c r="E308" s="26">
        <v>3135.43</v>
      </c>
      <c r="F308" s="19" t="s">
        <v>205</v>
      </c>
      <c r="G308" s="19" t="s"/>
    </row>
    <row r="309" spans="1:7">
      <c r="A309" s="19" t="s">
        <v>360</v>
      </c>
      <c r="B309" s="19" t="s">
        <v>116</v>
      </c>
      <c r="C309" s="19" t="s">
        <v>338</v>
      </c>
      <c r="D309" s="25">
        <v>2.5</v>
      </c>
      <c r="E309" s="26">
        <v>3135.43</v>
      </c>
      <c r="F309" s="19" t="s">
        <v>205</v>
      </c>
      <c r="G309" s="19" t="s"/>
    </row>
    <row r="310" spans="1:7">
      <c r="A310" s="19" t="s">
        <v>307</v>
      </c>
      <c r="B310" s="19" t="s">
        <v>96</v>
      </c>
      <c r="C310" s="19" t="s">
        <v>297</v>
      </c>
      <c r="D310" s="25">
        <v>1.5</v>
      </c>
      <c r="E310" s="26">
        <v>1778.91</v>
      </c>
      <c r="F310" s="19" t="s">
        <v>184</v>
      </c>
      <c r="G310" s="19" t="s"/>
    </row>
    <row r="311" spans="1:7">
      <c r="A311" s="19" t="s">
        <v>80</v>
      </c>
      <c r="B311" s="19" t="s">
        <v>79</v>
      </c>
      <c r="C311" s="19" t="s">
        <v>312</v>
      </c>
      <c r="D311" s="25">
        <v>2</v>
      </c>
      <c r="E311" s="26">
        <v>2742.7</v>
      </c>
      <c r="F311" s="19" t="s">
        <v>165</v>
      </c>
      <c r="G311" s="19" t="s"/>
    </row>
    <row r="312" spans="1:7">
      <c r="A312" s="19" t="s">
        <v>80</v>
      </c>
      <c r="B312" s="19" t="s">
        <v>79</v>
      </c>
      <c r="C312" s="19" t="s">
        <v>312</v>
      </c>
      <c r="D312" s="25">
        <v>0.5</v>
      </c>
      <c r="E312" s="26">
        <v>685.68</v>
      </c>
      <c r="F312" s="19" t="s">
        <v>165</v>
      </c>
      <c r="G312" s="19" t="s"/>
    </row>
    <row r="313" spans="1:7">
      <c r="A313" s="19" t="s">
        <v>80</v>
      </c>
      <c r="B313" s="19" t="s">
        <v>79</v>
      </c>
      <c r="C313" s="19" t="s">
        <v>312</v>
      </c>
      <c r="D313" s="25">
        <v>5</v>
      </c>
      <c r="E313" s="26">
        <v>7963.55</v>
      </c>
      <c r="F313" s="19" t="s">
        <v>312</v>
      </c>
      <c r="G313" s="19" t="s"/>
    </row>
    <row r="314" spans="1:7">
      <c r="A314" s="19" t="s">
        <v>103</v>
      </c>
      <c r="B314" s="19" t="s">
        <v>102</v>
      </c>
      <c r="C314" s="19" t="s">
        <v>338</v>
      </c>
      <c r="D314" s="25">
        <v>1</v>
      </c>
      <c r="E314" s="26">
        <v>1185.94</v>
      </c>
      <c r="F314" s="19" t="s">
        <v>338</v>
      </c>
      <c r="G314" s="19" t="s"/>
    </row>
    <row r="315" spans="1:7">
      <c r="A315" s="19" t="s">
        <v>360</v>
      </c>
      <c r="B315" s="19" t="s">
        <v>116</v>
      </c>
      <c r="C315" s="19" t="s">
        <v>338</v>
      </c>
      <c r="D315" s="25">
        <v>4</v>
      </c>
      <c r="E315" s="26">
        <v>4743.76</v>
      </c>
      <c r="F315" s="19" t="s">
        <v>338</v>
      </c>
      <c r="G315" s="19" t="s"/>
    </row>
    <row r="316" spans="1:7">
      <c r="A316" s="19" t="s">
        <v>131</v>
      </c>
      <c r="B316" s="19" t="s">
        <v>130</v>
      </c>
      <c r="C316" s="19" t="s">
        <v>429</v>
      </c>
      <c r="D316" s="25">
        <v>1</v>
      </c>
      <c r="E316" s="26">
        <v>1254.17</v>
      </c>
      <c r="F316" s="19" t="s">
        <v>363</v>
      </c>
      <c r="G316" s="19" t="s"/>
    </row>
    <row r="317" spans="1:7">
      <c r="A317" s="19" t="s">
        <v>80</v>
      </c>
      <c r="B317" s="19" t="s">
        <v>79</v>
      </c>
      <c r="C317" s="19" t="s">
        <v>312</v>
      </c>
      <c r="D317" s="25">
        <v>4.5</v>
      </c>
      <c r="E317" s="26">
        <v>4429.71</v>
      </c>
      <c r="F317" s="19" t="s">
        <v>167</v>
      </c>
      <c r="G317" s="19" t="s"/>
    </row>
    <row r="318" spans="1:7">
      <c r="A318" s="19" t="s">
        <v>80</v>
      </c>
      <c r="B318" s="19" t="s">
        <v>79</v>
      </c>
      <c r="C318" s="19" t="s">
        <v>312</v>
      </c>
      <c r="D318" s="25">
        <v>4</v>
      </c>
      <c r="E318" s="26">
        <v>3937.52</v>
      </c>
      <c r="F318" s="19" t="s">
        <v>167</v>
      </c>
      <c r="G318" s="19" t="s"/>
    </row>
    <row r="319" spans="1:7">
      <c r="A319" s="19" t="s">
        <v>135</v>
      </c>
      <c r="B319" s="19" t="s">
        <v>134</v>
      </c>
      <c r="C319" s="19" t="s">
        <v>161</v>
      </c>
      <c r="D319" s="25">
        <v>2.5</v>
      </c>
      <c r="E319" s="26">
        <v>2258.93</v>
      </c>
      <c r="F319" s="19" t="s">
        <v>429</v>
      </c>
      <c r="G319" s="19" t="s"/>
    </row>
    <row r="320" spans="1:7">
      <c r="A320" s="19" t="s">
        <v>340</v>
      </c>
      <c r="B320" s="19" t="s">
        <v>98</v>
      </c>
      <c r="C320" s="19" t="s">
        <v>338</v>
      </c>
      <c r="D320" s="25">
        <v>2.5</v>
      </c>
      <c r="E320" s="26">
        <v>1363.1</v>
      </c>
      <c r="F320" s="19" t="s">
        <v>856</v>
      </c>
      <c r="G320" s="19" t="s"/>
    </row>
    <row r="321" spans="1:7">
      <c r="A321" s="19" t="s">
        <v>107</v>
      </c>
      <c r="B321" s="19" t="s">
        <v>106</v>
      </c>
      <c r="C321" s="19" t="s">
        <v>310</v>
      </c>
      <c r="D321" s="25">
        <v>0.28</v>
      </c>
      <c r="E321" s="26">
        <v>210</v>
      </c>
      <c r="F321" s="19" t="s">
        <v>635</v>
      </c>
      <c r="G321" s="19" t="s"/>
    </row>
    <row r="322" spans="1:7">
      <c r="A322" s="19" t="s">
        <v>80</v>
      </c>
      <c r="B322" s="19" t="s">
        <v>79</v>
      </c>
      <c r="C322" s="19" t="s">
        <v>312</v>
      </c>
      <c r="D322" s="25">
        <v>1.5</v>
      </c>
      <c r="E322" s="26">
        <v>817.86</v>
      </c>
      <c r="F322" s="19" t="s">
        <v>742</v>
      </c>
      <c r="G322" s="19" t="s"/>
    </row>
    <row r="323" spans="1:7">
      <c r="A323" s="19" t="s">
        <v>103</v>
      </c>
      <c r="B323" s="19" t="s">
        <v>102</v>
      </c>
      <c r="C323" s="19" t="s">
        <v>338</v>
      </c>
      <c r="D323" s="25">
        <v>1</v>
      </c>
      <c r="E323" s="26">
        <v>545.24</v>
      </c>
      <c r="F323" s="19" t="s">
        <v>742</v>
      </c>
      <c r="G323" s="19" t="s"/>
    </row>
    <row r="324" spans="1:7">
      <c r="A324" s="19" t="s">
        <v>303</v>
      </c>
      <c r="B324" s="19" t="s">
        <v>89</v>
      </c>
      <c r="C324" s="19" t="s">
        <v>297</v>
      </c>
      <c r="D324" s="25">
        <v>5</v>
      </c>
      <c r="E324" s="26">
        <v>2726.2</v>
      </c>
      <c r="F324" s="19" t="s">
        <v>759</v>
      </c>
      <c r="G324" s="19" t="s"/>
    </row>
    <row r="325" spans="1:7">
      <c r="A325" s="19" t="s">
        <v>309</v>
      </c>
      <c r="B325" s="19" t="s">
        <v>118</v>
      </c>
      <c r="C325" s="19" t="s">
        <v>310</v>
      </c>
      <c r="D325" s="25">
        <v>0.5</v>
      </c>
      <c r="E325" s="26">
        <v>522.42</v>
      </c>
      <c r="F325" s="19" t="s">
        <v>638</v>
      </c>
      <c r="G325" s="19" t="s"/>
    </row>
    <row r="326" spans="1:7">
      <c r="A326" s="19" t="s">
        <v>720</v>
      </c>
      <c r="B326" s="19" t="s">
        <v>132</v>
      </c>
      <c r="C326" s="19" t="s">
        <v>297</v>
      </c>
      <c r="D326" s="25">
        <v>0.5</v>
      </c>
      <c r="E326" s="26">
        <v>522.42</v>
      </c>
      <c r="F326" s="19" t="s">
        <v>638</v>
      </c>
      <c r="G326" s="19" t="s"/>
    </row>
    <row r="327" spans="1:7">
      <c r="A327" s="19" t="s">
        <v>351</v>
      </c>
      <c r="B327" s="19" t="s">
        <v>110</v>
      </c>
      <c r="C327" s="19" t="s">
        <v>310</v>
      </c>
      <c r="D327" s="25">
        <v>1.5</v>
      </c>
      <c r="E327" s="26">
        <v>1567.26</v>
      </c>
      <c r="F327" s="19" t="s">
        <v>638</v>
      </c>
      <c r="G327" s="19" t="s"/>
    </row>
    <row r="328" spans="1:7">
      <c r="A328" s="19" t="s">
        <v>318</v>
      </c>
      <c r="B328" s="19" t="s">
        <v>126</v>
      </c>
      <c r="C328" s="19" t="s">
        <v>161</v>
      </c>
      <c r="D328" s="25">
        <v>2</v>
      </c>
      <c r="E328" s="26">
        <v>1279.36</v>
      </c>
      <c r="F328" s="19" t="s">
        <v>589</v>
      </c>
      <c r="G328" s="19" t="s"/>
    </row>
    <row r="329" spans="1:7">
      <c r="A329" s="19" t="s">
        <v>303</v>
      </c>
      <c r="B329" s="19" t="s">
        <v>89</v>
      </c>
      <c r="C329" s="19" t="s">
        <v>297</v>
      </c>
      <c r="D329" s="25">
        <v>3</v>
      </c>
      <c r="E329" s="26">
        <v>1919.04</v>
      </c>
      <c r="F329" s="19" t="s">
        <v>589</v>
      </c>
      <c r="G329" s="19" t="s"/>
    </row>
    <row r="330" spans="1:7">
      <c r="A330" s="19" t="s">
        <v>86</v>
      </c>
      <c r="B330" s="19" t="s">
        <v>85</v>
      </c>
      <c r="C330" s="19" t="s">
        <v>297</v>
      </c>
      <c r="D330" s="25">
        <v>3</v>
      </c>
      <c r="E330" s="26">
        <v>2449.41</v>
      </c>
      <c r="F330" s="19" t="s">
        <v>658</v>
      </c>
      <c r="G330" s="19" t="s"/>
    </row>
    <row r="331" spans="1:7">
      <c r="A331" s="19" t="s">
        <v>80</v>
      </c>
      <c r="B331" s="19" t="s">
        <v>79</v>
      </c>
      <c r="C331" s="19" t="s">
        <v>312</v>
      </c>
      <c r="D331" s="25">
        <v>3</v>
      </c>
      <c r="E331" s="26">
        <v>1919.04</v>
      </c>
      <c r="F331" s="19" t="s">
        <v>641</v>
      </c>
      <c r="G331" s="19" t="s"/>
    </row>
    <row r="332" spans="1:7">
      <c r="A332" s="19" t="s">
        <v>351</v>
      </c>
      <c r="B332" s="19" t="s">
        <v>110</v>
      </c>
      <c r="C332" s="19" t="s">
        <v>310</v>
      </c>
      <c r="D332" s="25">
        <v>5</v>
      </c>
      <c r="E332" s="26">
        <v>4517.85</v>
      </c>
      <c r="F332" s="19" t="s">
        <v>528</v>
      </c>
      <c r="G332" s="19" t="s"/>
    </row>
    <row r="333" spans="1:7">
      <c r="A333" s="19" t="s">
        <v>318</v>
      </c>
      <c r="B333" s="19" t="s">
        <v>126</v>
      </c>
      <c r="C333" s="19" t="s">
        <v>161</v>
      </c>
      <c r="D333" s="25">
        <v>4</v>
      </c>
      <c r="E333" s="26">
        <v>4238.08</v>
      </c>
      <c r="F333" s="19" t="s">
        <v>664</v>
      </c>
      <c r="G333" s="19" t="s"/>
    </row>
    <row r="334" spans="1:7">
      <c r="A334" s="19" t="s">
        <v>351</v>
      </c>
      <c r="B334" s="19" t="s">
        <v>110</v>
      </c>
      <c r="C334" s="19" t="s">
        <v>310</v>
      </c>
      <c r="D334" s="25">
        <v>3</v>
      </c>
      <c r="E334" s="26">
        <v>3178.56</v>
      </c>
      <c r="F334" s="19" t="s">
        <v>686</v>
      </c>
      <c r="G334" s="19" t="s"/>
    </row>
    <row r="335" spans="1:7">
      <c r="A335" s="19" t="s">
        <v>307</v>
      </c>
      <c r="B335" s="19" t="s">
        <v>96</v>
      </c>
      <c r="C335" s="19" t="s">
        <v>297</v>
      </c>
      <c r="D335" s="25">
        <v>1</v>
      </c>
      <c r="E335" s="26">
        <v>545.24</v>
      </c>
      <c r="F335" s="19" t="s">
        <v>702</v>
      </c>
      <c r="G335" s="19" t="s"/>
    </row>
    <row r="336" spans="1:7">
      <c r="A336" s="19" t="s">
        <v>351</v>
      </c>
      <c r="B336" s="19" t="s">
        <v>110</v>
      </c>
      <c r="C336" s="19" t="s">
        <v>310</v>
      </c>
      <c r="D336" s="25">
        <v>4</v>
      </c>
      <c r="E336" s="26">
        <v>2180.96</v>
      </c>
      <c r="F336" s="19" t="s">
        <v>702</v>
      </c>
      <c r="G336" s="19" t="s"/>
    </row>
    <row r="337" spans="1:7">
      <c r="A337" s="19" t="s">
        <v>318</v>
      </c>
      <c r="B337" s="19" t="s">
        <v>126</v>
      </c>
      <c r="C337" s="19" t="s">
        <v>161</v>
      </c>
      <c r="D337" s="25">
        <v>3.5</v>
      </c>
      <c r="E337" s="26">
        <v>1908.34</v>
      </c>
      <c r="F337" s="19" t="s">
        <v>442</v>
      </c>
      <c r="G337" s="19" t="s"/>
    </row>
    <row r="338" spans="1:7">
      <c r="A338" s="19" t="s">
        <v>95</v>
      </c>
      <c r="B338" s="19" t="s">
        <v>94</v>
      </c>
      <c r="C338" s="19" t="s">
        <v>310</v>
      </c>
      <c r="D338" s="25">
        <v>0.5</v>
      </c>
      <c r="E338" s="26">
        <v>272.62</v>
      </c>
      <c r="F338" s="19" t="s">
        <v>442</v>
      </c>
      <c r="G338" s="19" t="s"/>
    </row>
    <row r="339" spans="1:7">
      <c r="A339" s="19" t="s">
        <v>80</v>
      </c>
      <c r="B339" s="19" t="s">
        <v>79</v>
      </c>
      <c r="C339" s="19" t="s">
        <v>312</v>
      </c>
      <c r="D339" s="25">
        <v>1.5</v>
      </c>
      <c r="E339" s="26">
        <v>1355.36</v>
      </c>
      <c r="F339" s="19" t="s">
        <v>154</v>
      </c>
      <c r="G339" s="19" t="s"/>
    </row>
    <row r="340" spans="1:7">
      <c r="A340" s="19" t="s">
        <v>80</v>
      </c>
      <c r="B340" s="19" t="s">
        <v>79</v>
      </c>
      <c r="C340" s="19" t="s">
        <v>312</v>
      </c>
      <c r="D340" s="25">
        <v>4</v>
      </c>
      <c r="E340" s="26">
        <v>3614.28</v>
      </c>
      <c r="F340" s="19" t="s">
        <v>592</v>
      </c>
      <c r="G340" s="19" t="s"/>
    </row>
    <row r="341" spans="1:7">
      <c r="A341" s="19" t="s">
        <v>103</v>
      </c>
      <c r="B341" s="19" t="s">
        <v>102</v>
      </c>
      <c r="C341" s="19" t="s">
        <v>338</v>
      </c>
      <c r="D341" s="25">
        <v>1</v>
      </c>
      <c r="E341" s="26">
        <v>903.57</v>
      </c>
      <c r="F341" s="19" t="s">
        <v>592</v>
      </c>
      <c r="G341" s="19" t="s"/>
    </row>
    <row r="342" spans="1:7">
      <c r="A342" s="19" t="s">
        <v>95</v>
      </c>
      <c r="B342" s="19" t="s">
        <v>94</v>
      </c>
      <c r="C342" s="19" t="s">
        <v>310</v>
      </c>
      <c r="D342" s="25">
        <v>2.5</v>
      </c>
      <c r="E342" s="26">
        <v>2648.8</v>
      </c>
      <c r="F342" s="19" t="s">
        <v>578</v>
      </c>
      <c r="G342" s="19" t="s"/>
    </row>
    <row r="343" spans="1:7">
      <c r="A343" s="19" t="s">
        <v>351</v>
      </c>
      <c r="B343" s="19" t="s">
        <v>110</v>
      </c>
      <c r="C343" s="19" t="s">
        <v>310</v>
      </c>
      <c r="D343" s="25">
        <v>0.5</v>
      </c>
      <c r="E343" s="26">
        <v>529.76</v>
      </c>
      <c r="F343" s="19" t="s">
        <v>578</v>
      </c>
      <c r="G343" s="19" t="s"/>
    </row>
    <row r="344" spans="1:7">
      <c r="A344" s="19" t="s">
        <v>80</v>
      </c>
      <c r="B344" s="19" t="s">
        <v>79</v>
      </c>
      <c r="C344" s="19" t="s">
        <v>312</v>
      </c>
      <c r="D344" s="25">
        <v>0.5</v>
      </c>
      <c r="E344" s="26">
        <v>408.24</v>
      </c>
      <c r="F344" s="19" t="s">
        <v>562</v>
      </c>
      <c r="G344" s="19" t="s"/>
    </row>
    <row r="345" spans="1:7">
      <c r="A345" s="19" t="s">
        <v>105</v>
      </c>
      <c r="B345" s="19" t="s">
        <v>104</v>
      </c>
      <c r="C345" s="19" t="s">
        <v>310</v>
      </c>
      <c r="D345" s="25">
        <v>3</v>
      </c>
      <c r="E345" s="26">
        <v>2449.41</v>
      </c>
      <c r="F345" s="19" t="s">
        <v>648</v>
      </c>
      <c r="G345" s="19" t="s"/>
    </row>
    <row r="346" spans="1:7">
      <c r="A346" s="19" t="s">
        <v>351</v>
      </c>
      <c r="B346" s="19" t="s">
        <v>110</v>
      </c>
      <c r="C346" s="19" t="s">
        <v>310</v>
      </c>
      <c r="D346" s="25">
        <v>2</v>
      </c>
      <c r="E346" s="26">
        <v>1632.94</v>
      </c>
      <c r="F346" s="19" t="s">
        <v>648</v>
      </c>
      <c r="G346" s="19" t="s"/>
    </row>
    <row r="347" spans="1:7">
      <c r="A347" s="19" t="s">
        <v>351</v>
      </c>
      <c r="B347" s="19" t="s">
        <v>110</v>
      </c>
      <c r="C347" s="19" t="s">
        <v>310</v>
      </c>
      <c r="D347" s="25">
        <v>2</v>
      </c>
      <c r="E347" s="26">
        <v>1090.48</v>
      </c>
      <c r="F347" s="19" t="s">
        <v>651</v>
      </c>
      <c r="G347" s="19" t="s"/>
    </row>
    <row r="348" spans="1:7">
      <c r="A348" s="19" t="s">
        <v>351</v>
      </c>
      <c r="B348" s="19" t="s">
        <v>110</v>
      </c>
      <c r="C348" s="19" t="s">
        <v>310</v>
      </c>
      <c r="D348" s="25">
        <v>5</v>
      </c>
      <c r="E348" s="26">
        <v>3198.4</v>
      </c>
      <c r="F348" s="19" t="s">
        <v>655</v>
      </c>
      <c r="G348" s="19" t="s"/>
    </row>
    <row r="349" spans="1:7">
      <c r="A349" s="19" t="s">
        <v>139</v>
      </c>
      <c r="B349" s="19" t="s">
        <v>138</v>
      </c>
      <c r="C349" s="19" t="s">
        <v>297</v>
      </c>
      <c r="D349" s="25">
        <v>0.6</v>
      </c>
      <c r="E349" s="26">
        <v>542.14</v>
      </c>
      <c r="F349" s="19" t="s">
        <v>297</v>
      </c>
      <c r="G349" s="19" t="s"/>
    </row>
    <row r="350" spans="1:7">
      <c r="A350" s="19" t="s">
        <v>88</v>
      </c>
      <c r="B350" s="19" t="s">
        <v>87</v>
      </c>
      <c r="C350" s="19" t="s">
        <v>297</v>
      </c>
      <c r="D350" s="25">
        <v>0.6</v>
      </c>
      <c r="E350" s="26">
        <v>542.14</v>
      </c>
      <c r="F350" s="19" t="s">
        <v>297</v>
      </c>
      <c r="G350" s="19" t="s"/>
    </row>
    <row r="351" spans="1:7">
      <c r="A351" s="19" t="s">
        <v>305</v>
      </c>
      <c r="B351" s="19" t="s">
        <v>112</v>
      </c>
      <c r="C351" s="19" t="s">
        <v>297</v>
      </c>
      <c r="D351" s="25">
        <v>0.8</v>
      </c>
      <c r="E351" s="26">
        <v>722.86</v>
      </c>
      <c r="F351" s="19" t="s">
        <v>297</v>
      </c>
      <c r="G351" s="19" t="s"/>
    </row>
    <row r="352" spans="1:7">
      <c r="A352" s="19" t="s">
        <v>416</v>
      </c>
      <c r="B352" s="19" t="s">
        <v>122</v>
      </c>
      <c r="C352" s="19" t="s">
        <v>297</v>
      </c>
      <c r="D352" s="25">
        <v>1.5</v>
      </c>
      <c r="E352" s="26">
        <v>1355.36</v>
      </c>
      <c r="F352" s="19" t="s">
        <v>297</v>
      </c>
      <c r="G352" s="19" t="s"/>
    </row>
    <row r="353" spans="1:7">
      <c r="A353" s="19" t="s">
        <v>121</v>
      </c>
      <c r="B353" s="19" t="s">
        <v>120</v>
      </c>
      <c r="C353" s="19" t="s">
        <v>297</v>
      </c>
      <c r="D353" s="25">
        <v>0.7</v>
      </c>
      <c r="E353" s="26">
        <v>632.5</v>
      </c>
      <c r="F353" s="19" t="s">
        <v>297</v>
      </c>
      <c r="G353" s="19" t="s"/>
    </row>
    <row r="354" spans="1:7">
      <c r="A354" s="19" t="s">
        <v>86</v>
      </c>
      <c r="B354" s="19" t="s">
        <v>85</v>
      </c>
      <c r="C354" s="19" t="s">
        <v>297</v>
      </c>
      <c r="D354" s="25">
        <v>0.3</v>
      </c>
      <c r="E354" s="26">
        <v>271.07</v>
      </c>
      <c r="F354" s="19" t="s">
        <v>297</v>
      </c>
      <c r="G354" s="19" t="s"/>
    </row>
    <row r="355" spans="1:7">
      <c r="A355" s="19" t="s">
        <v>303</v>
      </c>
      <c r="B355" s="19" t="s">
        <v>89</v>
      </c>
      <c r="C355" s="19" t="s">
        <v>297</v>
      </c>
      <c r="D355" s="25">
        <v>0.5</v>
      </c>
      <c r="E355" s="26">
        <v>451.79</v>
      </c>
      <c r="F355" s="19" t="s">
        <v>297</v>
      </c>
      <c r="G355" s="19" t="s"/>
    </row>
    <row r="356" spans="1:7">
      <c r="A356" s="19" t="s">
        <v>360</v>
      </c>
      <c r="B356" s="19" t="s">
        <v>116</v>
      </c>
      <c r="C356" s="19" t="s">
        <v>338</v>
      </c>
      <c r="D356" s="25">
        <v>1.1</v>
      </c>
      <c r="E356" s="26">
        <v>599.76</v>
      </c>
      <c r="F356" s="19" t="s">
        <v>211</v>
      </c>
      <c r="G356" s="19" t="s"/>
    </row>
    <row r="357" spans="1:7">
      <c r="A357" s="19" t="s">
        <v>305</v>
      </c>
      <c r="B357" s="19" t="s">
        <v>112</v>
      </c>
      <c r="C357" s="19" t="s">
        <v>297</v>
      </c>
      <c r="D357" s="25">
        <v>1.5</v>
      </c>
      <c r="E357" s="26">
        <v>817.86</v>
      </c>
      <c r="F357" s="19" t="s">
        <v>211</v>
      </c>
      <c r="G357" s="19" t="s"/>
    </row>
    <row r="358" spans="1:7">
      <c r="A358" s="19" t="s">
        <v>80</v>
      </c>
      <c r="B358" s="19" t="s">
        <v>79</v>
      </c>
      <c r="C358" s="19" t="s">
        <v>312</v>
      </c>
      <c r="D358" s="25">
        <v>1.8</v>
      </c>
      <c r="E358" s="26">
        <v>981.43</v>
      </c>
      <c r="F358" s="19" t="s">
        <v>211</v>
      </c>
      <c r="G358" s="19" t="s"/>
    </row>
    <row r="359" spans="1:7">
      <c r="A359" s="19" t="s">
        <v>351</v>
      </c>
      <c r="B359" s="19" t="s">
        <v>110</v>
      </c>
      <c r="C359" s="19" t="s">
        <v>310</v>
      </c>
      <c r="D359" s="25">
        <v>5</v>
      </c>
      <c r="E359" s="26">
        <v>2726.2</v>
      </c>
      <c r="F359" s="19" t="s">
        <v>310</v>
      </c>
      <c r="G359" s="19" t="s"/>
    </row>
    <row r="360" spans="1:7">
      <c r="A360" s="19" t="s">
        <v>305</v>
      </c>
      <c r="B360" s="19" t="s">
        <v>112</v>
      </c>
      <c r="C360" s="19" t="s">
        <v>297</v>
      </c>
      <c r="D360" s="25">
        <v>3</v>
      </c>
      <c r="E360" s="26">
        <v>2866.68</v>
      </c>
      <c r="F360" s="19" t="s">
        <v>216</v>
      </c>
      <c r="G360" s="19" t="s"/>
    </row>
    <row r="361" spans="1:7">
      <c r="A361" s="19" t="s">
        <v>93</v>
      </c>
      <c r="B361" s="19" t="s">
        <v>92</v>
      </c>
      <c r="C361" s="19" t="s">
        <v>442</v>
      </c>
      <c r="D361" s="25">
        <v>0.5</v>
      </c>
      <c r="E361" s="26">
        <v>477.78</v>
      </c>
      <c r="F361" s="19" t="s">
        <v>216</v>
      </c>
      <c r="G361" s="19" t="s"/>
    </row>
    <row r="362" spans="1:7">
      <c r="A362" s="19" t="s">
        <v>305</v>
      </c>
      <c r="B362" s="19" t="s">
        <v>112</v>
      </c>
      <c r="C362" s="19" t="s">
        <v>297</v>
      </c>
      <c r="D362" s="25">
        <v>0.4</v>
      </c>
      <c r="E362" s="26">
        <v>485.4</v>
      </c>
      <c r="F362" s="19" t="s">
        <v>161</v>
      </c>
      <c r="G362" s="19" t="s"/>
    </row>
    <row r="363" spans="1:7">
      <c r="A363" s="19" t="s">
        <v>109</v>
      </c>
      <c r="B363" s="19" t="s">
        <v>108</v>
      </c>
      <c r="C363" s="19" t="s">
        <v>161</v>
      </c>
      <c r="D363" s="25">
        <v>0.5</v>
      </c>
      <c r="E363" s="26">
        <v>606.75</v>
      </c>
      <c r="F363" s="19" t="s">
        <v>161</v>
      </c>
      <c r="G363" s="19" t="s"/>
    </row>
    <row r="364" spans="1:7">
      <c r="A364" s="19" t="s">
        <v>80</v>
      </c>
      <c r="B364" s="19" t="s">
        <v>79</v>
      </c>
      <c r="C364" s="19" t="s">
        <v>312</v>
      </c>
      <c r="D364" s="25">
        <v>1</v>
      </c>
      <c r="E364" s="26">
        <v>955.56</v>
      </c>
      <c r="F364" s="19" t="s">
        <v>205</v>
      </c>
      <c r="G364" s="19" t="s"/>
    </row>
    <row r="365" spans="1:7">
      <c r="A365" s="19" t="s">
        <v>80</v>
      </c>
      <c r="B365" s="19" t="s">
        <v>79</v>
      </c>
      <c r="C365" s="19" t="s">
        <v>312</v>
      </c>
      <c r="D365" s="25">
        <v>2</v>
      </c>
      <c r="E365" s="26">
        <v>2089.68</v>
      </c>
      <c r="F365" s="19" t="s">
        <v>165</v>
      </c>
      <c r="G365" s="19" t="s"/>
    </row>
    <row r="366" spans="1:7">
      <c r="A366" s="19" t="s">
        <v>80</v>
      </c>
      <c r="B366" s="19" t="s">
        <v>79</v>
      </c>
      <c r="C366" s="19" t="s">
        <v>312</v>
      </c>
      <c r="D366" s="25">
        <v>5</v>
      </c>
      <c r="E366" s="26">
        <v>6067.45</v>
      </c>
      <c r="F366" s="19" t="s">
        <v>312</v>
      </c>
      <c r="G366" s="19" t="s"/>
    </row>
    <row r="367" spans="1:7">
      <c r="A367" s="19" t="s">
        <v>91</v>
      </c>
      <c r="B367" s="19" t="s">
        <v>90</v>
      </c>
      <c r="C367" s="19" t="s">
        <v>338</v>
      </c>
      <c r="D367" s="25">
        <v>5</v>
      </c>
      <c r="E367" s="26">
        <v>4517.85</v>
      </c>
      <c r="F367" s="19" t="s">
        <v>338</v>
      </c>
      <c r="G367" s="19" t="s"/>
    </row>
    <row r="368" spans="1:7">
      <c r="A368" s="19" t="s">
        <v>303</v>
      </c>
      <c r="B368" s="19" t="s">
        <v>89</v>
      </c>
      <c r="C368" s="19" t="s">
        <v>297</v>
      </c>
      <c r="D368" s="25">
        <v>1</v>
      </c>
      <c r="E368" s="26">
        <v>955.56</v>
      </c>
      <c r="F368" s="19" t="s">
        <v>363</v>
      </c>
      <c r="G368" s="19" t="s"/>
    </row>
    <row r="369" spans="1:7">
      <c r="A369" s="19" t="s">
        <v>105</v>
      </c>
      <c r="B369" s="19" t="s">
        <v>104</v>
      </c>
      <c r="C369" s="19" t="s">
        <v>310</v>
      </c>
      <c r="D369" s="25">
        <v>1.5</v>
      </c>
      <c r="E369" s="26">
        <v>1433.34</v>
      </c>
      <c r="F369" s="19" t="s">
        <v>363</v>
      </c>
      <c r="G369" s="19" t="s"/>
    </row>
    <row r="370" spans="1:7">
      <c r="A370" s="19" t="s">
        <v>80</v>
      </c>
      <c r="B370" s="19" t="s">
        <v>79</v>
      </c>
      <c r="C370" s="19" t="s">
        <v>312</v>
      </c>
      <c r="D370" s="25">
        <v>2.5</v>
      </c>
      <c r="E370" s="26">
        <v>2388.9</v>
      </c>
      <c r="F370" s="19" t="s">
        <v>363</v>
      </c>
      <c r="G370" s="19" t="s"/>
    </row>
    <row r="371" spans="1:7">
      <c r="A371" s="19" t="s">
        <v>80</v>
      </c>
      <c r="B371" s="19" t="s">
        <v>79</v>
      </c>
      <c r="C371" s="19" t="s">
        <v>312</v>
      </c>
      <c r="D371" s="25">
        <v>4.5</v>
      </c>
      <c r="E371" s="26">
        <v>3375</v>
      </c>
      <c r="F371" s="19" t="s">
        <v>167</v>
      </c>
      <c r="G371" s="19" t="s"/>
    </row>
    <row r="372" spans="1:7">
      <c r="A372" s="19" t="s">
        <v>135</v>
      </c>
      <c r="B372" s="19" t="s">
        <v>134</v>
      </c>
      <c r="C372" s="19" t="s">
        <v>161</v>
      </c>
      <c r="D372" s="25">
        <v>1</v>
      </c>
      <c r="E372" s="26">
        <v>903.57</v>
      </c>
      <c r="F372" s="19" t="s">
        <v>429</v>
      </c>
      <c r="G372" s="19" t="s"/>
    </row>
    <row r="373" spans="1:7">
      <c r="A373" s="19" t="s">
        <v>340</v>
      </c>
      <c r="B373" s="19" t="s">
        <v>98</v>
      </c>
      <c r="C373" s="19" t="s">
        <v>338</v>
      </c>
      <c r="D373" s="25">
        <v>0.5</v>
      </c>
      <c r="E373" s="26">
        <v>272.62</v>
      </c>
      <c r="F373" s="19" t="s">
        <v>856</v>
      </c>
      <c r="G373" s="19" t="s"/>
    </row>
    <row r="374" spans="1:7">
      <c r="A374" s="19" t="s">
        <v>107</v>
      </c>
      <c r="B374" s="19" t="s">
        <v>106</v>
      </c>
      <c r="C374" s="19" t="s">
        <v>310</v>
      </c>
      <c r="D374" s="25">
        <v>0.28</v>
      </c>
      <c r="E374" s="26">
        <v>210</v>
      </c>
      <c r="F374" s="19" t="s">
        <v>635</v>
      </c>
      <c r="G374" s="19" t="s"/>
    </row>
    <row r="375" spans="1:7">
      <c r="A375" s="19" t="s">
        <v>80</v>
      </c>
      <c r="B375" s="19" t="s">
        <v>79</v>
      </c>
      <c r="C375" s="19" t="s">
        <v>312</v>
      </c>
      <c r="D375" s="25">
        <v>2</v>
      </c>
      <c r="E375" s="26">
        <v>1090.48</v>
      </c>
      <c r="F375" s="19" t="s">
        <v>742</v>
      </c>
      <c r="G375" s="19" t="s"/>
    </row>
    <row r="376" spans="1:7">
      <c r="A376" s="19" t="s">
        <v>303</v>
      </c>
      <c r="B376" s="19" t="s">
        <v>89</v>
      </c>
      <c r="C376" s="19" t="s">
        <v>297</v>
      </c>
      <c r="D376" s="25">
        <v>5</v>
      </c>
      <c r="E376" s="26">
        <v>2726.2</v>
      </c>
      <c r="F376" s="19" t="s">
        <v>759</v>
      </c>
      <c r="G376" s="19" t="s"/>
    </row>
    <row r="377" spans="1:7">
      <c r="A377" s="19" t="s">
        <v>105</v>
      </c>
      <c r="B377" s="19" t="s">
        <v>104</v>
      </c>
      <c r="C377" s="19" t="s">
        <v>310</v>
      </c>
      <c r="D377" s="25">
        <v>1</v>
      </c>
      <c r="E377" s="26">
        <v>1044.84</v>
      </c>
      <c r="F377" s="19" t="s">
        <v>638</v>
      </c>
      <c r="G377" s="19" t="s"/>
    </row>
    <row r="378" spans="1:7">
      <c r="A378" s="19" t="s">
        <v>80</v>
      </c>
      <c r="B378" s="19" t="s">
        <v>79</v>
      </c>
      <c r="C378" s="19" t="s">
        <v>312</v>
      </c>
      <c r="D378" s="25">
        <v>1.5</v>
      </c>
      <c r="E378" s="26">
        <v>959.52</v>
      </c>
      <c r="F378" s="19" t="s">
        <v>575</v>
      </c>
      <c r="G378" s="19" t="s"/>
    </row>
    <row r="379" spans="1:7">
      <c r="A379" s="19" t="s">
        <v>80</v>
      </c>
      <c r="B379" s="19" t="s">
        <v>79</v>
      </c>
      <c r="C379" s="19" t="s">
        <v>312</v>
      </c>
      <c r="D379" s="25">
        <v>3</v>
      </c>
      <c r="E379" s="26">
        <v>1919.04</v>
      </c>
      <c r="F379" s="19" t="s">
        <v>641</v>
      </c>
      <c r="G379" s="19" t="s"/>
    </row>
    <row r="380" spans="1:7">
      <c r="A380" s="19" t="s">
        <v>351</v>
      </c>
      <c r="B380" s="19" t="s">
        <v>110</v>
      </c>
      <c r="C380" s="19" t="s">
        <v>310</v>
      </c>
      <c r="D380" s="25">
        <v>5</v>
      </c>
      <c r="E380" s="26">
        <v>4517.85</v>
      </c>
      <c r="F380" s="19" t="s">
        <v>528</v>
      </c>
      <c r="G380" s="19" t="s"/>
    </row>
    <row r="381" spans="1:7">
      <c r="A381" s="19" t="s">
        <v>318</v>
      </c>
      <c r="B381" s="19" t="s">
        <v>126</v>
      </c>
      <c r="C381" s="19" t="s">
        <v>161</v>
      </c>
      <c r="D381" s="25">
        <v>3</v>
      </c>
      <c r="E381" s="26">
        <v>3178.56</v>
      </c>
      <c r="F381" s="19" t="s">
        <v>664</v>
      </c>
      <c r="G381" s="19" t="s"/>
    </row>
    <row r="382" spans="1:7">
      <c r="A382" s="19" t="s">
        <v>351</v>
      </c>
      <c r="B382" s="19" t="s">
        <v>110</v>
      </c>
      <c r="C382" s="19" t="s">
        <v>310</v>
      </c>
      <c r="D382" s="25">
        <v>2</v>
      </c>
      <c r="E382" s="26">
        <v>2119.04</v>
      </c>
      <c r="F382" s="19" t="s">
        <v>664</v>
      </c>
      <c r="G382" s="19" t="s"/>
    </row>
    <row r="383" spans="1:7">
      <c r="A383" s="19" t="s">
        <v>318</v>
      </c>
      <c r="B383" s="19" t="s">
        <v>126</v>
      </c>
      <c r="C383" s="19" t="s">
        <v>161</v>
      </c>
      <c r="D383" s="25">
        <v>1.4</v>
      </c>
      <c r="E383" s="26">
        <v>1483.33</v>
      </c>
      <c r="F383" s="19" t="s">
        <v>686</v>
      </c>
      <c r="G383" s="19" t="s"/>
    </row>
    <row r="384" spans="1:7">
      <c r="A384" s="19" t="s">
        <v>303</v>
      </c>
      <c r="B384" s="19" t="s">
        <v>89</v>
      </c>
      <c r="C384" s="19" t="s">
        <v>297</v>
      </c>
      <c r="D384" s="25">
        <v>1.3</v>
      </c>
      <c r="E384" s="26">
        <v>1377.38</v>
      </c>
      <c r="F384" s="19" t="s">
        <v>686</v>
      </c>
      <c r="G384" s="19" t="s"/>
    </row>
    <row r="385" spans="1:7">
      <c r="A385" s="19" t="s">
        <v>791</v>
      </c>
      <c r="B385" s="19" t="s">
        <v>114</v>
      </c>
      <c r="C385" s="19" t="s">
        <v>310</v>
      </c>
      <c r="D385" s="25">
        <v>2.3</v>
      </c>
      <c r="E385" s="26">
        <v>2436.9</v>
      </c>
      <c r="F385" s="19" t="s">
        <v>686</v>
      </c>
      <c r="G385" s="19" t="s"/>
    </row>
    <row r="386" spans="1:7">
      <c r="A386" s="19" t="s">
        <v>351</v>
      </c>
      <c r="B386" s="19" t="s">
        <v>110</v>
      </c>
      <c r="C386" s="19" t="s">
        <v>310</v>
      </c>
      <c r="D386" s="25">
        <v>4</v>
      </c>
      <c r="E386" s="26">
        <v>2180.96</v>
      </c>
      <c r="F386" s="19" t="s">
        <v>702</v>
      </c>
      <c r="G386" s="19" t="s"/>
    </row>
    <row r="387" spans="1:7">
      <c r="A387" s="19" t="s">
        <v>105</v>
      </c>
      <c r="B387" s="19" t="s">
        <v>104</v>
      </c>
      <c r="C387" s="19" t="s">
        <v>310</v>
      </c>
      <c r="D387" s="25">
        <v>1</v>
      </c>
      <c r="E387" s="26">
        <v>545.24</v>
      </c>
      <c r="F387" s="19" t="s">
        <v>702</v>
      </c>
      <c r="G387" s="19" t="s"/>
    </row>
    <row r="388" spans="1:7">
      <c r="A388" s="19" t="s">
        <v>318</v>
      </c>
      <c r="B388" s="19" t="s">
        <v>126</v>
      </c>
      <c r="C388" s="19" t="s">
        <v>161</v>
      </c>
      <c r="D388" s="25">
        <v>2.5</v>
      </c>
      <c r="E388" s="26">
        <v>1363.1</v>
      </c>
      <c r="F388" s="19" t="s">
        <v>442</v>
      </c>
      <c r="G388" s="19" t="s"/>
    </row>
    <row r="389" spans="1:7">
      <c r="A389" s="19" t="s">
        <v>95</v>
      </c>
      <c r="B389" s="19" t="s">
        <v>94</v>
      </c>
      <c r="C389" s="19" t="s">
        <v>310</v>
      </c>
      <c r="D389" s="25">
        <v>1</v>
      </c>
      <c r="E389" s="26">
        <v>545.24</v>
      </c>
      <c r="F389" s="19" t="s">
        <v>442</v>
      </c>
      <c r="G389" s="19" t="s"/>
    </row>
    <row r="390" spans="1:7">
      <c r="A390" s="19" t="s">
        <v>107</v>
      </c>
      <c r="B390" s="19" t="s">
        <v>106</v>
      </c>
      <c r="C390" s="19" t="s">
        <v>310</v>
      </c>
      <c r="D390" s="25">
        <v>1</v>
      </c>
      <c r="E390" s="26">
        <v>903.57</v>
      </c>
      <c r="F390" s="19" t="s">
        <v>154</v>
      </c>
      <c r="G390" s="19" t="s"/>
    </row>
    <row r="391" spans="1:7">
      <c r="A391" s="19" t="s">
        <v>360</v>
      </c>
      <c r="B391" s="19" t="s">
        <v>116</v>
      </c>
      <c r="C391" s="19" t="s">
        <v>338</v>
      </c>
      <c r="D391" s="25">
        <v>0.5</v>
      </c>
      <c r="E391" s="26">
        <v>451.79</v>
      </c>
      <c r="F391" s="19" t="s">
        <v>592</v>
      </c>
      <c r="G391" s="19" t="s"/>
    </row>
    <row r="392" spans="1:7">
      <c r="A392" s="19" t="s">
        <v>351</v>
      </c>
      <c r="B392" s="19" t="s">
        <v>110</v>
      </c>
      <c r="C392" s="19" t="s">
        <v>310</v>
      </c>
      <c r="D392" s="25">
        <v>1.5</v>
      </c>
      <c r="E392" s="26">
        <v>1589.28</v>
      </c>
      <c r="F392" s="19" t="s">
        <v>578</v>
      </c>
      <c r="G392" s="19" t="s"/>
    </row>
    <row r="393" spans="1:7">
      <c r="A393" s="19" t="s">
        <v>105</v>
      </c>
      <c r="B393" s="19" t="s">
        <v>104</v>
      </c>
      <c r="C393" s="19" t="s">
        <v>310</v>
      </c>
      <c r="D393" s="25">
        <v>5</v>
      </c>
      <c r="E393" s="26">
        <v>4082.35</v>
      </c>
      <c r="F393" s="19" t="s">
        <v>648</v>
      </c>
      <c r="G393" s="19" t="s"/>
    </row>
    <row r="394" spans="1:7">
      <c r="A394" s="19" t="s">
        <v>351</v>
      </c>
      <c r="B394" s="19" t="s">
        <v>110</v>
      </c>
      <c r="C394" s="19" t="s">
        <v>310</v>
      </c>
      <c r="D394" s="25">
        <v>2</v>
      </c>
      <c r="E394" s="26">
        <v>1090.48</v>
      </c>
      <c r="F394" s="19" t="s">
        <v>651</v>
      </c>
      <c r="G394" s="19" t="s"/>
    </row>
    <row r="395" spans="1:7">
      <c r="A395" s="19" t="s">
        <v>351</v>
      </c>
      <c r="B395" s="19" t="s">
        <v>110</v>
      </c>
      <c r="C395" s="19" t="s">
        <v>310</v>
      </c>
      <c r="D395" s="25">
        <v>5</v>
      </c>
      <c r="E395" s="26">
        <v>3198.4</v>
      </c>
      <c r="F395" s="19" t="s">
        <v>655</v>
      </c>
      <c r="G395" s="19" t="s"/>
    </row>
    <row r="396" spans="1:7">
      <c r="A396" s="19" t="s">
        <v>305</v>
      </c>
      <c r="B396" s="19" t="s">
        <v>112</v>
      </c>
      <c r="C396" s="19" t="s">
        <v>297</v>
      </c>
      <c r="D396" s="25">
        <v>2</v>
      </c>
      <c r="E396" s="26">
        <v>1807.14</v>
      </c>
      <c r="F396" s="19" t="s">
        <v>297</v>
      </c>
      <c r="G396" s="19" t="s"/>
    </row>
    <row r="397" spans="1:7">
      <c r="A397" s="19" t="s">
        <v>121</v>
      </c>
      <c r="B397" s="19" t="s">
        <v>120</v>
      </c>
      <c r="C397" s="19" t="s">
        <v>297</v>
      </c>
      <c r="D397" s="25">
        <v>1</v>
      </c>
      <c r="E397" s="26">
        <v>903.57</v>
      </c>
      <c r="F397" s="19" t="s">
        <v>297</v>
      </c>
      <c r="G397" s="19" t="s"/>
    </row>
    <row r="398" spans="1:7">
      <c r="A398" s="19" t="s">
        <v>86</v>
      </c>
      <c r="B398" s="19" t="s">
        <v>85</v>
      </c>
      <c r="C398" s="19" t="s">
        <v>297</v>
      </c>
      <c r="D398" s="25">
        <v>1</v>
      </c>
      <c r="E398" s="26">
        <v>903.57</v>
      </c>
      <c r="F398" s="19" t="s">
        <v>297</v>
      </c>
      <c r="G398" s="19" t="s"/>
    </row>
    <row r="399" spans="1:7">
      <c r="A399" s="19" t="s">
        <v>309</v>
      </c>
      <c r="B399" s="19" t="s">
        <v>118</v>
      </c>
      <c r="C399" s="19" t="s">
        <v>310</v>
      </c>
      <c r="D399" s="25">
        <v>1</v>
      </c>
      <c r="E399" s="26">
        <v>903.57</v>
      </c>
      <c r="F399" s="19" t="s">
        <v>297</v>
      </c>
      <c r="G399" s="19" t="s"/>
    </row>
    <row r="400" spans="1:7">
      <c r="A400" s="19" t="s">
        <v>305</v>
      </c>
      <c r="B400" s="19" t="s">
        <v>112</v>
      </c>
      <c r="C400" s="19" t="s">
        <v>297</v>
      </c>
      <c r="D400" s="25">
        <v>2.5</v>
      </c>
      <c r="E400" s="26">
        <v>1363.1</v>
      </c>
      <c r="F400" s="19" t="s">
        <v>211</v>
      </c>
      <c r="G400" s="19" t="s"/>
    </row>
    <row r="401" spans="1:7">
      <c r="A401" s="19" t="s">
        <v>80</v>
      </c>
      <c r="B401" s="19" t="s">
        <v>79</v>
      </c>
      <c r="C401" s="19" t="s">
        <v>312</v>
      </c>
      <c r="D401" s="25">
        <v>1.5</v>
      </c>
      <c r="E401" s="26">
        <v>817.86</v>
      </c>
      <c r="F401" s="19" t="s">
        <v>211</v>
      </c>
      <c r="G401" s="19" t="s"/>
    </row>
    <row r="402" spans="1:7">
      <c r="A402" s="19" t="s">
        <v>351</v>
      </c>
      <c r="B402" s="19" t="s">
        <v>110</v>
      </c>
      <c r="C402" s="19" t="s">
        <v>310</v>
      </c>
      <c r="D402" s="25">
        <v>5</v>
      </c>
      <c r="E402" s="26">
        <v>2726.2</v>
      </c>
      <c r="F402" s="19" t="s">
        <v>310</v>
      </c>
      <c r="G402" s="19" t="s"/>
    </row>
    <row r="403" spans="1:7">
      <c r="A403" s="19" t="s">
        <v>91</v>
      </c>
      <c r="B403" s="19" t="s">
        <v>90</v>
      </c>
      <c r="C403" s="19" t="s">
        <v>338</v>
      </c>
      <c r="D403" s="25">
        <v>0.5</v>
      </c>
      <c r="E403" s="26">
        <v>477.78</v>
      </c>
      <c r="F403" s="19" t="s">
        <v>216</v>
      </c>
      <c r="G403" s="19" t="s"/>
    </row>
    <row r="404" spans="1:7">
      <c r="A404" s="19" t="s">
        <v>305</v>
      </c>
      <c r="B404" s="19" t="s">
        <v>112</v>
      </c>
      <c r="C404" s="19" t="s">
        <v>297</v>
      </c>
      <c r="D404" s="25">
        <v>2</v>
      </c>
      <c r="E404" s="26">
        <v>1911.12</v>
      </c>
      <c r="F404" s="19" t="s">
        <v>216</v>
      </c>
      <c r="G404" s="19" t="s"/>
    </row>
    <row r="405" spans="1:7">
      <c r="A405" s="19" t="s">
        <v>109</v>
      </c>
      <c r="B405" s="19" t="s">
        <v>108</v>
      </c>
      <c r="C405" s="19" t="s">
        <v>161</v>
      </c>
      <c r="D405" s="25">
        <v>0.4</v>
      </c>
      <c r="E405" s="26">
        <v>485.4</v>
      </c>
      <c r="F405" s="19" t="s">
        <v>161</v>
      </c>
      <c r="G405" s="19" t="s"/>
    </row>
    <row r="406" spans="1:7">
      <c r="A406" s="19" t="s">
        <v>305</v>
      </c>
      <c r="B406" s="19" t="s">
        <v>112</v>
      </c>
      <c r="C406" s="19" t="s">
        <v>297</v>
      </c>
      <c r="D406" s="25">
        <v>1.2</v>
      </c>
      <c r="E406" s="26">
        <v>1456.19</v>
      </c>
      <c r="F406" s="19" t="s">
        <v>161</v>
      </c>
      <c r="G406" s="19" t="s"/>
    </row>
    <row r="407" spans="1:7">
      <c r="A407" s="19" t="s">
        <v>360</v>
      </c>
      <c r="B407" s="19" t="s">
        <v>116</v>
      </c>
      <c r="C407" s="19" t="s">
        <v>338</v>
      </c>
      <c r="D407" s="25">
        <v>0.5</v>
      </c>
      <c r="E407" s="26">
        <v>477.78</v>
      </c>
      <c r="F407" s="19" t="s">
        <v>205</v>
      </c>
      <c r="G407" s="19" t="s"/>
    </row>
    <row r="408" spans="1:7">
      <c r="A408" s="19" t="s">
        <v>307</v>
      </c>
      <c r="B408" s="19" t="s">
        <v>96</v>
      </c>
      <c r="C408" s="19" t="s">
        <v>297</v>
      </c>
      <c r="D408" s="25">
        <v>1.5</v>
      </c>
      <c r="E408" s="26">
        <v>1355.36</v>
      </c>
      <c r="F408" s="19" t="s">
        <v>184</v>
      </c>
      <c r="G408" s="19" t="s"/>
    </row>
    <row r="409" spans="1:7">
      <c r="A409" s="19" t="s">
        <v>80</v>
      </c>
      <c r="B409" s="19" t="s">
        <v>79</v>
      </c>
      <c r="C409" s="19" t="s">
        <v>312</v>
      </c>
      <c r="D409" s="25">
        <v>3</v>
      </c>
      <c r="E409" s="26">
        <v>3134.52</v>
      </c>
      <c r="F409" s="19" t="s">
        <v>165</v>
      </c>
      <c r="G409" s="19" t="s"/>
    </row>
    <row r="410" spans="1:7">
      <c r="A410" s="19" t="s">
        <v>80</v>
      </c>
      <c r="B410" s="19" t="s">
        <v>79</v>
      </c>
      <c r="C410" s="19" t="s">
        <v>312</v>
      </c>
      <c r="D410" s="25">
        <v>5</v>
      </c>
      <c r="E410" s="26">
        <v>6067.45</v>
      </c>
      <c r="F410" s="19" t="s">
        <v>312</v>
      </c>
      <c r="G410" s="19" t="s"/>
    </row>
    <row r="411" spans="1:7">
      <c r="A411" s="19" t="s">
        <v>125</v>
      </c>
      <c r="B411" s="19" t="s">
        <v>124</v>
      </c>
      <c r="C411" s="19" t="s">
        <v>338</v>
      </c>
      <c r="D411" s="25">
        <v>5</v>
      </c>
      <c r="E411" s="26">
        <v>4517.85</v>
      </c>
      <c r="F411" s="19" t="s">
        <v>338</v>
      </c>
      <c r="G411" s="19" t="s"/>
    </row>
    <row r="412" spans="1:7">
      <c r="A412" s="19" t="s">
        <v>131</v>
      </c>
      <c r="B412" s="19" t="s">
        <v>130</v>
      </c>
      <c r="C412" s="19" t="s">
        <v>429</v>
      </c>
      <c r="D412" s="25">
        <v>0.5</v>
      </c>
      <c r="E412" s="26">
        <v>477.78</v>
      </c>
      <c r="F412" s="19" t="s">
        <v>363</v>
      </c>
      <c r="G412" s="19" t="s"/>
    </row>
    <row r="413" spans="1:7">
      <c r="A413" s="19" t="s">
        <v>80</v>
      </c>
      <c r="B413" s="19" t="s">
        <v>79</v>
      </c>
      <c r="C413" s="19" t="s">
        <v>312</v>
      </c>
      <c r="D413" s="25">
        <v>0.5</v>
      </c>
      <c r="E413" s="26">
        <v>477.78</v>
      </c>
      <c r="F413" s="19" t="s">
        <v>363</v>
      </c>
      <c r="G413" s="19" t="s"/>
    </row>
    <row r="414" spans="1:7">
      <c r="A414" s="19" t="s">
        <v>80</v>
      </c>
      <c r="B414" s="19" t="s">
        <v>79</v>
      </c>
      <c r="C414" s="19" t="s">
        <v>312</v>
      </c>
      <c r="D414" s="25">
        <v>2.5</v>
      </c>
      <c r="E414" s="26">
        <v>1875</v>
      </c>
      <c r="F414" s="19" t="s">
        <v>167</v>
      </c>
      <c r="G414" s="19" t="s"/>
    </row>
    <row r="415" spans="1:7">
      <c r="A415" s="19" t="s">
        <v>135</v>
      </c>
      <c r="B415" s="19" t="s">
        <v>134</v>
      </c>
      <c r="C415" s="19" t="s">
        <v>161</v>
      </c>
      <c r="D415" s="25">
        <v>1.8</v>
      </c>
      <c r="E415" s="26">
        <v>1626.43</v>
      </c>
      <c r="F415" s="19" t="s">
        <v>429</v>
      </c>
      <c r="G415" s="19" t="s"/>
    </row>
    <row r="416" spans="1:7">
      <c r="A416" s="19" t="s">
        <v>340</v>
      </c>
      <c r="B416" s="19" t="s">
        <v>98</v>
      </c>
      <c r="C416" s="19" t="s">
        <v>338</v>
      </c>
      <c r="D416" s="25">
        <v>2.5</v>
      </c>
      <c r="E416" s="26">
        <v>1363.1</v>
      </c>
      <c r="F416" s="19" t="s">
        <v>856</v>
      </c>
      <c r="G416" s="19" t="s"/>
    </row>
    <row r="417" spans="1:7">
      <c r="A417" s="19" t="s">
        <v>107</v>
      </c>
      <c r="B417" s="19" t="s">
        <v>106</v>
      </c>
      <c r="C417" s="19" t="s">
        <v>310</v>
      </c>
      <c r="D417" s="25">
        <v>0.28</v>
      </c>
      <c r="E417" s="26">
        <v>210</v>
      </c>
      <c r="F417" s="19" t="s">
        <v>635</v>
      </c>
      <c r="G417" s="19" t="s"/>
    </row>
    <row r="418" spans="1:7">
      <c r="A418" s="19" t="s">
        <v>103</v>
      </c>
      <c r="B418" s="19" t="s">
        <v>102</v>
      </c>
      <c r="C418" s="19" t="s">
        <v>338</v>
      </c>
      <c r="D418" s="25">
        <v>1</v>
      </c>
      <c r="E418" s="26">
        <v>545.24</v>
      </c>
      <c r="F418" s="19" t="s">
        <v>742</v>
      </c>
      <c r="G418" s="19" t="s"/>
    </row>
    <row r="419" spans="1:7">
      <c r="A419" s="19" t="s">
        <v>80</v>
      </c>
      <c r="B419" s="19" t="s">
        <v>79</v>
      </c>
      <c r="C419" s="19" t="s">
        <v>312</v>
      </c>
      <c r="D419" s="25">
        <v>2</v>
      </c>
      <c r="E419" s="26">
        <v>1090.48</v>
      </c>
      <c r="F419" s="19" t="s">
        <v>742</v>
      </c>
      <c r="G419" s="19" t="s"/>
    </row>
    <row r="420" spans="1:7">
      <c r="A420" s="19" t="s">
        <v>105</v>
      </c>
      <c r="B420" s="19" t="s">
        <v>104</v>
      </c>
      <c r="C420" s="19" t="s">
        <v>310</v>
      </c>
      <c r="D420" s="25">
        <v>1</v>
      </c>
      <c r="E420" s="26">
        <v>1044.84</v>
      </c>
      <c r="F420" s="19" t="s">
        <v>638</v>
      </c>
      <c r="G420" s="19" t="s"/>
    </row>
    <row r="421" spans="1:7">
      <c r="A421" s="19" t="s">
        <v>720</v>
      </c>
      <c r="B421" s="19" t="s">
        <v>132</v>
      </c>
      <c r="C421" s="19" t="s">
        <v>297</v>
      </c>
      <c r="D421" s="25">
        <v>0.5</v>
      </c>
      <c r="E421" s="26">
        <v>522.42</v>
      </c>
      <c r="F421" s="19" t="s">
        <v>638</v>
      </c>
      <c r="G421" s="19" t="s"/>
    </row>
    <row r="422" spans="1:7">
      <c r="A422" s="19" t="s">
        <v>318</v>
      </c>
      <c r="B422" s="19" t="s">
        <v>126</v>
      </c>
      <c r="C422" s="19" t="s">
        <v>161</v>
      </c>
      <c r="D422" s="25">
        <v>4.5</v>
      </c>
      <c r="E422" s="26">
        <v>2878.56</v>
      </c>
      <c r="F422" s="19" t="s">
        <v>589</v>
      </c>
      <c r="G422" s="19" t="s"/>
    </row>
    <row r="423" spans="1:7">
      <c r="A423" s="19" t="s">
        <v>91</v>
      </c>
      <c r="B423" s="19" t="s">
        <v>90</v>
      </c>
      <c r="C423" s="19" t="s">
        <v>338</v>
      </c>
      <c r="D423" s="25">
        <v>1</v>
      </c>
      <c r="E423" s="26">
        <v>816.47</v>
      </c>
      <c r="F423" s="19" t="s">
        <v>658</v>
      </c>
      <c r="G423" s="19" t="s"/>
    </row>
    <row r="424" spans="1:7">
      <c r="A424" s="19" t="s">
        <v>80</v>
      </c>
      <c r="B424" s="19" t="s">
        <v>79</v>
      </c>
      <c r="C424" s="19" t="s">
        <v>312</v>
      </c>
      <c r="D424" s="25">
        <v>4.37</v>
      </c>
      <c r="E424" s="26">
        <v>2795.4</v>
      </c>
      <c r="F424" s="19" t="s">
        <v>575</v>
      </c>
      <c r="G424" s="19" t="s"/>
    </row>
    <row r="425" spans="1:7">
      <c r="A425" s="19" t="s">
        <v>80</v>
      </c>
      <c r="B425" s="19" t="s">
        <v>79</v>
      </c>
      <c r="C425" s="19" t="s">
        <v>312</v>
      </c>
      <c r="D425" s="25">
        <v>2</v>
      </c>
      <c r="E425" s="26">
        <v>1279.36</v>
      </c>
      <c r="F425" s="19" t="s">
        <v>641</v>
      </c>
      <c r="G425" s="19" t="s"/>
    </row>
    <row r="426" spans="1:7">
      <c r="A426" s="19" t="s">
        <v>351</v>
      </c>
      <c r="B426" s="19" t="s">
        <v>110</v>
      </c>
      <c r="C426" s="19" t="s">
        <v>310</v>
      </c>
      <c r="D426" s="25">
        <v>5</v>
      </c>
      <c r="E426" s="26">
        <v>4517.85</v>
      </c>
      <c r="F426" s="19" t="s">
        <v>528</v>
      </c>
      <c r="G426" s="19" t="s"/>
    </row>
    <row r="427" spans="1:7">
      <c r="A427" s="19" t="s">
        <v>318</v>
      </c>
      <c r="B427" s="19" t="s">
        <v>126</v>
      </c>
      <c r="C427" s="19" t="s">
        <v>161</v>
      </c>
      <c r="D427" s="25">
        <v>2</v>
      </c>
      <c r="E427" s="26">
        <v>2119.04</v>
      </c>
      <c r="F427" s="19" t="s">
        <v>664</v>
      </c>
      <c r="G427" s="19" t="s"/>
    </row>
    <row r="428" spans="1:7">
      <c r="A428" s="19" t="s">
        <v>351</v>
      </c>
      <c r="B428" s="19" t="s">
        <v>110</v>
      </c>
      <c r="C428" s="19" t="s">
        <v>310</v>
      </c>
      <c r="D428" s="25">
        <v>3</v>
      </c>
      <c r="E428" s="26">
        <v>3178.56</v>
      </c>
      <c r="F428" s="19" t="s">
        <v>664</v>
      </c>
      <c r="G428" s="19" t="s"/>
    </row>
    <row r="429" spans="1:7">
      <c r="A429" s="19" t="s">
        <v>105</v>
      </c>
      <c r="B429" s="19" t="s">
        <v>104</v>
      </c>
      <c r="C429" s="19" t="s">
        <v>310</v>
      </c>
      <c r="D429" s="25">
        <v>2</v>
      </c>
      <c r="E429" s="26">
        <v>1090.48</v>
      </c>
      <c r="F429" s="19" t="s">
        <v>702</v>
      </c>
      <c r="G429" s="19" t="s"/>
    </row>
    <row r="430" spans="1:7">
      <c r="A430" s="19" t="s">
        <v>307</v>
      </c>
      <c r="B430" s="19" t="s">
        <v>96</v>
      </c>
      <c r="C430" s="19" t="s">
        <v>297</v>
      </c>
      <c r="D430" s="25">
        <v>2</v>
      </c>
      <c r="E430" s="26">
        <v>1090.48</v>
      </c>
      <c r="F430" s="19" t="s">
        <v>702</v>
      </c>
      <c r="G430" s="19" t="s"/>
    </row>
    <row r="431" spans="1:7">
      <c r="A431" s="19" t="s">
        <v>791</v>
      </c>
      <c r="B431" s="19" t="s">
        <v>114</v>
      </c>
      <c r="C431" s="19" t="s">
        <v>310</v>
      </c>
      <c r="D431" s="25">
        <v>1</v>
      </c>
      <c r="E431" s="26">
        <v>545.24</v>
      </c>
      <c r="F431" s="19" t="s">
        <v>702</v>
      </c>
      <c r="G431" s="19" t="s"/>
    </row>
    <row r="432" spans="1:7">
      <c r="A432" s="19" t="s">
        <v>318</v>
      </c>
      <c r="B432" s="19" t="s">
        <v>126</v>
      </c>
      <c r="C432" s="19" t="s">
        <v>161</v>
      </c>
      <c r="D432" s="25">
        <v>2.5</v>
      </c>
      <c r="E432" s="26">
        <v>1363.1</v>
      </c>
      <c r="F432" s="19" t="s">
        <v>442</v>
      </c>
      <c r="G432" s="19" t="s"/>
    </row>
    <row r="433" spans="1:7">
      <c r="A433" s="19" t="s">
        <v>95</v>
      </c>
      <c r="B433" s="19" t="s">
        <v>94</v>
      </c>
      <c r="C433" s="19" t="s">
        <v>310</v>
      </c>
      <c r="D433" s="25">
        <v>1</v>
      </c>
      <c r="E433" s="26">
        <v>545.24</v>
      </c>
      <c r="F433" s="19" t="s">
        <v>442</v>
      </c>
      <c r="G433" s="19" t="s"/>
    </row>
    <row r="434" spans="1:7">
      <c r="A434" s="19" t="s">
        <v>80</v>
      </c>
      <c r="B434" s="19" t="s">
        <v>79</v>
      </c>
      <c r="C434" s="19" t="s">
        <v>312</v>
      </c>
      <c r="D434" s="25">
        <v>2</v>
      </c>
      <c r="E434" s="26">
        <v>1807.14</v>
      </c>
      <c r="F434" s="19" t="s">
        <v>154</v>
      </c>
      <c r="G434" s="19" t="s"/>
    </row>
    <row r="435" spans="1:7">
      <c r="A435" s="19" t="s">
        <v>360</v>
      </c>
      <c r="B435" s="19" t="s">
        <v>116</v>
      </c>
      <c r="C435" s="19" t="s">
        <v>338</v>
      </c>
      <c r="D435" s="25">
        <v>1</v>
      </c>
      <c r="E435" s="26">
        <v>903.57</v>
      </c>
      <c r="F435" s="19" t="s">
        <v>154</v>
      </c>
      <c r="G435" s="19" t="s"/>
    </row>
    <row r="436" spans="1:7">
      <c r="A436" s="19" t="s">
        <v>318</v>
      </c>
      <c r="B436" s="19" t="s">
        <v>126</v>
      </c>
      <c r="C436" s="19" t="s">
        <v>161</v>
      </c>
      <c r="D436" s="25">
        <v>4</v>
      </c>
      <c r="E436" s="26">
        <v>4238.08</v>
      </c>
      <c r="F436" s="19" t="s">
        <v>578</v>
      </c>
      <c r="G436" s="19" t="s"/>
    </row>
    <row r="437" spans="1:7">
      <c r="A437" s="19" t="s">
        <v>720</v>
      </c>
      <c r="B437" s="19" t="s">
        <v>132</v>
      </c>
      <c r="C437" s="19" t="s">
        <v>297</v>
      </c>
      <c r="D437" s="25">
        <v>1</v>
      </c>
      <c r="E437" s="26">
        <v>1059.52</v>
      </c>
      <c r="F437" s="19" t="s">
        <v>578</v>
      </c>
      <c r="G437" s="19" t="s"/>
    </row>
    <row r="438" spans="1:7">
      <c r="A438" s="19" t="s">
        <v>80</v>
      </c>
      <c r="B438" s="19" t="s">
        <v>79</v>
      </c>
      <c r="C438" s="19" t="s">
        <v>312</v>
      </c>
      <c r="D438" s="25">
        <v>1</v>
      </c>
      <c r="E438" s="26">
        <v>750</v>
      </c>
      <c r="F438" s="19" t="s">
        <v>667</v>
      </c>
      <c r="G438" s="19" t="s"/>
    </row>
    <row r="439" spans="1:7">
      <c r="A439" s="19" t="s">
        <v>80</v>
      </c>
      <c r="B439" s="19" t="s">
        <v>79</v>
      </c>
      <c r="C439" s="19" t="s">
        <v>312</v>
      </c>
      <c r="D439" s="25">
        <v>4.5</v>
      </c>
      <c r="E439" s="26">
        <v>3674.12</v>
      </c>
      <c r="F439" s="19" t="s">
        <v>562</v>
      </c>
      <c r="G439" s="19" t="s"/>
    </row>
    <row r="440" spans="1:7">
      <c r="A440" s="19" t="s">
        <v>105</v>
      </c>
      <c r="B440" s="19" t="s">
        <v>104</v>
      </c>
      <c r="C440" s="19" t="s">
        <v>310</v>
      </c>
      <c r="D440" s="25">
        <v>3</v>
      </c>
      <c r="E440" s="26">
        <v>2449.41</v>
      </c>
      <c r="F440" s="19" t="s">
        <v>648</v>
      </c>
      <c r="G440" s="19" t="s"/>
    </row>
    <row r="441" spans="1:7">
      <c r="A441" s="19" t="s">
        <v>720</v>
      </c>
      <c r="B441" s="19" t="s">
        <v>132</v>
      </c>
      <c r="C441" s="19" t="s">
        <v>297</v>
      </c>
      <c r="D441" s="25">
        <v>2</v>
      </c>
      <c r="E441" s="26">
        <v>1632.94</v>
      </c>
      <c r="F441" s="19" t="s">
        <v>648</v>
      </c>
      <c r="G441" s="19" t="s"/>
    </row>
    <row r="442" spans="1:7">
      <c r="A442" s="19" t="s">
        <v>351</v>
      </c>
      <c r="B442" s="19" t="s">
        <v>110</v>
      </c>
      <c r="C442" s="19" t="s">
        <v>310</v>
      </c>
      <c r="D442" s="25">
        <v>3</v>
      </c>
      <c r="E442" s="26">
        <v>1635.72</v>
      </c>
      <c r="F442" s="19" t="s">
        <v>651</v>
      </c>
      <c r="G442" s="19" t="s"/>
    </row>
    <row r="443" spans="1:7">
      <c r="A443" s="19" t="s">
        <v>351</v>
      </c>
      <c r="B443" s="19" t="s">
        <v>110</v>
      </c>
      <c r="C443" s="19" t="s">
        <v>310</v>
      </c>
      <c r="D443" s="25">
        <v>5</v>
      </c>
      <c r="E443" s="26">
        <v>3198.4</v>
      </c>
      <c r="F443" s="19" t="s">
        <v>655</v>
      </c>
      <c r="G443" s="19" t="s"/>
    </row>
    <row r="444" spans="1:7">
      <c r="A444" s="19" t="s">
        <v>121</v>
      </c>
      <c r="B444" s="19" t="s">
        <v>120</v>
      </c>
      <c r="C444" s="19" t="s">
        <v>297</v>
      </c>
      <c r="D444" s="25">
        <v>2</v>
      </c>
      <c r="E444" s="26">
        <v>1807.14</v>
      </c>
      <c r="F444" s="19" t="s">
        <v>297</v>
      </c>
      <c r="G444" s="19" t="s"/>
    </row>
    <row r="445" spans="1:7">
      <c r="A445" s="19" t="s">
        <v>305</v>
      </c>
      <c r="B445" s="19" t="s">
        <v>112</v>
      </c>
      <c r="C445" s="19" t="s">
        <v>297</v>
      </c>
      <c r="D445" s="25">
        <v>1</v>
      </c>
      <c r="E445" s="26">
        <v>903.57</v>
      </c>
      <c r="F445" s="19" t="s">
        <v>297</v>
      </c>
      <c r="G445" s="19" t="s"/>
    </row>
    <row r="446" spans="1:7">
      <c r="A446" s="19" t="s">
        <v>86</v>
      </c>
      <c r="B446" s="19" t="s">
        <v>85</v>
      </c>
      <c r="C446" s="19" t="s">
        <v>297</v>
      </c>
      <c r="D446" s="25">
        <v>1</v>
      </c>
      <c r="E446" s="26">
        <v>903.57</v>
      </c>
      <c r="F446" s="19" t="s">
        <v>297</v>
      </c>
      <c r="G446" s="19" t="s"/>
    </row>
    <row r="447" spans="1:7">
      <c r="A447" s="19" t="s">
        <v>80</v>
      </c>
      <c r="B447" s="19" t="s">
        <v>79</v>
      </c>
      <c r="C447" s="19" t="s">
        <v>312</v>
      </c>
      <c r="D447" s="25">
        <v>5</v>
      </c>
      <c r="E447" s="26">
        <v>2726.2</v>
      </c>
      <c r="F447" s="19" t="s">
        <v>211</v>
      </c>
      <c r="G447" s="19" t="s"/>
    </row>
    <row r="448" spans="1:7">
      <c r="A448" s="19" t="s">
        <v>107</v>
      </c>
      <c r="B448" s="19" t="s">
        <v>106</v>
      </c>
      <c r="C448" s="19" t="s">
        <v>310</v>
      </c>
      <c r="D448" s="25">
        <v>5</v>
      </c>
      <c r="E448" s="26">
        <v>2726.2</v>
      </c>
      <c r="F448" s="19" t="s">
        <v>310</v>
      </c>
      <c r="G448" s="19" t="s"/>
    </row>
    <row r="449" spans="1:7">
      <c r="A449" s="19" t="s">
        <v>91</v>
      </c>
      <c r="B449" s="19" t="s">
        <v>90</v>
      </c>
      <c r="C449" s="19" t="s">
        <v>338</v>
      </c>
      <c r="D449" s="25">
        <v>1.5</v>
      </c>
      <c r="E449" s="26">
        <v>1433.34</v>
      </c>
      <c r="F449" s="19" t="s">
        <v>216</v>
      </c>
      <c r="G449" s="19" t="s"/>
    </row>
    <row r="450" spans="1:7">
      <c r="A450" s="19" t="s">
        <v>137</v>
      </c>
      <c r="B450" s="19" t="s">
        <v>136</v>
      </c>
      <c r="C450" s="19" t="s">
        <v>161</v>
      </c>
      <c r="D450" s="25">
        <v>0.5</v>
      </c>
      <c r="E450" s="26">
        <v>606.75</v>
      </c>
      <c r="F450" s="19" t="s">
        <v>161</v>
      </c>
      <c r="G450" s="19" t="s"/>
    </row>
    <row r="451" spans="1:7">
      <c r="A451" s="19" t="s">
        <v>109</v>
      </c>
      <c r="B451" s="19" t="s">
        <v>108</v>
      </c>
      <c r="C451" s="19" t="s">
        <v>161</v>
      </c>
      <c r="D451" s="25">
        <v>0.5</v>
      </c>
      <c r="E451" s="26">
        <v>606.75</v>
      </c>
      <c r="F451" s="19" t="s">
        <v>161</v>
      </c>
      <c r="G451" s="19" t="s"/>
    </row>
    <row r="452" spans="1:7">
      <c r="A452" s="19" t="s">
        <v>360</v>
      </c>
      <c r="B452" s="19" t="s">
        <v>116</v>
      </c>
      <c r="C452" s="19" t="s">
        <v>338</v>
      </c>
      <c r="D452" s="25">
        <v>0.5</v>
      </c>
      <c r="E452" s="26">
        <v>477.78</v>
      </c>
      <c r="F452" s="19" t="s">
        <v>205</v>
      </c>
      <c r="G452" s="19" t="s"/>
    </row>
    <row r="453" spans="1:7">
      <c r="A453" s="19" t="s">
        <v>80</v>
      </c>
      <c r="B453" s="19" t="s">
        <v>79</v>
      </c>
      <c r="C453" s="19" t="s">
        <v>312</v>
      </c>
      <c r="D453" s="25">
        <v>1</v>
      </c>
      <c r="E453" s="26">
        <v>955.56</v>
      </c>
      <c r="F453" s="19" t="s">
        <v>205</v>
      </c>
      <c r="G453" s="19" t="s"/>
    </row>
    <row r="454" spans="1:7">
      <c r="A454" s="19" t="s">
        <v>307</v>
      </c>
      <c r="B454" s="19" t="s">
        <v>96</v>
      </c>
      <c r="C454" s="19" t="s">
        <v>297</v>
      </c>
      <c r="D454" s="25">
        <v>1.5</v>
      </c>
      <c r="E454" s="26">
        <v>1355.36</v>
      </c>
      <c r="F454" s="19" t="s">
        <v>184</v>
      </c>
      <c r="G454" s="19" t="s"/>
    </row>
    <row r="455" spans="1:7">
      <c r="A455" s="19" t="s">
        <v>80</v>
      </c>
      <c r="B455" s="19" t="s">
        <v>79</v>
      </c>
      <c r="C455" s="19" t="s">
        <v>312</v>
      </c>
      <c r="D455" s="25">
        <v>5</v>
      </c>
      <c r="E455" s="26">
        <v>6067.45</v>
      </c>
      <c r="F455" s="19" t="s">
        <v>312</v>
      </c>
      <c r="G455" s="19" t="s"/>
    </row>
    <row r="456" spans="1:7">
      <c r="A456" s="19" t="s">
        <v>360</v>
      </c>
      <c r="B456" s="19" t="s">
        <v>116</v>
      </c>
      <c r="C456" s="19" t="s">
        <v>338</v>
      </c>
      <c r="D456" s="25">
        <v>5</v>
      </c>
      <c r="E456" s="26">
        <v>4517.85</v>
      </c>
      <c r="F456" s="19" t="s">
        <v>338</v>
      </c>
      <c r="G456" s="19" t="s"/>
    </row>
    <row r="457" spans="1:7">
      <c r="A457" s="19" t="s">
        <v>82</v>
      </c>
      <c r="B457" s="19" t="s">
        <v>81</v>
      </c>
      <c r="C457" s="19" t="s">
        <v>312</v>
      </c>
      <c r="D457" s="25">
        <v>3</v>
      </c>
      <c r="E457" s="26">
        <v>2866.68</v>
      </c>
      <c r="F457" s="19" t="s">
        <v>363</v>
      </c>
      <c r="G457" s="19" t="s"/>
    </row>
    <row r="458" spans="1:7">
      <c r="A458" s="19" t="s">
        <v>105</v>
      </c>
      <c r="B458" s="19" t="s">
        <v>104</v>
      </c>
      <c r="C458" s="19" t="s">
        <v>310</v>
      </c>
      <c r="D458" s="25">
        <v>2</v>
      </c>
      <c r="E458" s="26">
        <v>1911.12</v>
      </c>
      <c r="F458" s="19" t="s">
        <v>363</v>
      </c>
      <c r="G458" s="19" t="s"/>
    </row>
    <row r="459" spans="1:7">
      <c r="A459" s="19" t="s">
        <v>80</v>
      </c>
      <c r="B459" s="19" t="s">
        <v>79</v>
      </c>
      <c r="C459" s="19" t="s">
        <v>312</v>
      </c>
      <c r="D459" s="25">
        <v>3</v>
      </c>
      <c r="E459" s="26">
        <v>2250</v>
      </c>
      <c r="F459" s="19" t="s">
        <v>167</v>
      </c>
      <c r="G459" s="19" t="s"/>
    </row>
    <row r="460" spans="1:7">
      <c r="A460" s="19" t="s">
        <v>857</v>
      </c>
      <c r="B460" s="19" t="s">
        <v>858</v>
      </c>
      <c r="C460" s="19" t="s">
        <v>338</v>
      </c>
      <c r="D460" s="25">
        <v>3</v>
      </c>
      <c r="E460" s="26">
        <v>3640.47</v>
      </c>
      <c r="F460" s="19" t="s">
        <v>557</v>
      </c>
      <c r="G460" s="19" t="s"/>
    </row>
    <row r="461" spans="1:7">
      <c r="A461" s="19" t="s">
        <v>135</v>
      </c>
      <c r="B461" s="19" t="s">
        <v>134</v>
      </c>
      <c r="C461" s="19" t="s">
        <v>161</v>
      </c>
      <c r="D461" s="25">
        <v>1.5</v>
      </c>
      <c r="E461" s="26">
        <v>1355.36</v>
      </c>
      <c r="F461" s="19" t="s">
        <v>429</v>
      </c>
      <c r="G461" s="19" t="s"/>
    </row>
    <row r="462" spans="1:7">
      <c r="A462" s="19" t="s">
        <v>340</v>
      </c>
      <c r="B462" s="19" t="s">
        <v>98</v>
      </c>
      <c r="C462" s="19" t="s">
        <v>338</v>
      </c>
      <c r="D462" s="25">
        <v>2</v>
      </c>
      <c r="E462" s="26">
        <v>1090.48</v>
      </c>
      <c r="F462" s="19" t="s">
        <v>856</v>
      </c>
      <c r="G462" s="19" t="s"/>
    </row>
    <row r="463" spans="1:7">
      <c r="A463" s="19" t="s">
        <v>107</v>
      </c>
      <c r="B463" s="19" t="s">
        <v>106</v>
      </c>
      <c r="C463" s="19" t="s">
        <v>310</v>
      </c>
      <c r="D463" s="25">
        <v>0.5</v>
      </c>
      <c r="E463" s="26">
        <v>375</v>
      </c>
      <c r="F463" s="19" t="s">
        <v>635</v>
      </c>
      <c r="G463" s="19" t="s"/>
    </row>
    <row r="464" spans="1:7">
      <c r="A464" s="19" t="s">
        <v>103</v>
      </c>
      <c r="B464" s="19" t="s">
        <v>102</v>
      </c>
      <c r="C464" s="19" t="s">
        <v>338</v>
      </c>
      <c r="D464" s="25">
        <v>2</v>
      </c>
      <c r="E464" s="26">
        <v>1090.48</v>
      </c>
      <c r="F464" s="19" t="s">
        <v>742</v>
      </c>
      <c r="G464" s="19" t="s"/>
    </row>
    <row r="465" spans="1:7">
      <c r="A465" s="19" t="s">
        <v>80</v>
      </c>
      <c r="B465" s="19" t="s">
        <v>79</v>
      </c>
      <c r="C465" s="19" t="s">
        <v>312</v>
      </c>
      <c r="D465" s="25">
        <v>2</v>
      </c>
      <c r="E465" s="26">
        <v>1090.48</v>
      </c>
      <c r="F465" s="19" t="s">
        <v>742</v>
      </c>
      <c r="G465" s="19" t="s"/>
    </row>
    <row r="466" spans="1:7">
      <c r="A466" s="19" t="s">
        <v>105</v>
      </c>
      <c r="B466" s="19" t="s">
        <v>104</v>
      </c>
      <c r="C466" s="19" t="s">
        <v>310</v>
      </c>
      <c r="D466" s="25">
        <v>1.5</v>
      </c>
      <c r="E466" s="26">
        <v>1567.26</v>
      </c>
      <c r="F466" s="19" t="s">
        <v>638</v>
      </c>
      <c r="G466" s="19" t="s"/>
    </row>
    <row r="467" spans="1:7">
      <c r="A467" s="19" t="s">
        <v>720</v>
      </c>
      <c r="B467" s="19" t="s">
        <v>132</v>
      </c>
      <c r="C467" s="19" t="s">
        <v>297</v>
      </c>
      <c r="D467" s="25">
        <v>1</v>
      </c>
      <c r="E467" s="26">
        <v>1044.84</v>
      </c>
      <c r="F467" s="19" t="s">
        <v>638</v>
      </c>
      <c r="G467" s="19" t="s"/>
    </row>
    <row r="468" spans="1:7">
      <c r="A468" s="19" t="s">
        <v>351</v>
      </c>
      <c r="B468" s="19" t="s">
        <v>110</v>
      </c>
      <c r="C468" s="19" t="s">
        <v>310</v>
      </c>
      <c r="D468" s="25">
        <v>3</v>
      </c>
      <c r="E468" s="26">
        <v>1919.04</v>
      </c>
      <c r="F468" s="19" t="s">
        <v>589</v>
      </c>
      <c r="G468" s="19" t="s"/>
    </row>
    <row r="469" spans="1:7">
      <c r="A469" s="19" t="s">
        <v>91</v>
      </c>
      <c r="B469" s="19" t="s">
        <v>90</v>
      </c>
      <c r="C469" s="19" t="s">
        <v>338</v>
      </c>
      <c r="D469" s="25">
        <v>2.5</v>
      </c>
      <c r="E469" s="26">
        <v>2041.18</v>
      </c>
      <c r="F469" s="19" t="s">
        <v>658</v>
      </c>
      <c r="G469" s="19" t="s"/>
    </row>
    <row r="470" spans="1:7">
      <c r="A470" s="19" t="s">
        <v>125</v>
      </c>
      <c r="B470" s="19" t="s">
        <v>124</v>
      </c>
      <c r="C470" s="19" t="s">
        <v>338</v>
      </c>
      <c r="D470" s="25">
        <v>2</v>
      </c>
      <c r="E470" s="26">
        <v>1279.36</v>
      </c>
      <c r="F470" s="19" t="s">
        <v>641</v>
      </c>
      <c r="G470" s="19" t="s"/>
    </row>
    <row r="471" spans="1:7">
      <c r="A471" s="19" t="s">
        <v>80</v>
      </c>
      <c r="B471" s="19" t="s">
        <v>79</v>
      </c>
      <c r="C471" s="19" t="s">
        <v>312</v>
      </c>
      <c r="D471" s="25">
        <v>3</v>
      </c>
      <c r="E471" s="26">
        <v>1919.04</v>
      </c>
      <c r="F471" s="19" t="s">
        <v>641</v>
      </c>
      <c r="G471" s="19" t="s"/>
    </row>
    <row r="472" spans="1:7">
      <c r="A472" s="19" t="s">
        <v>80</v>
      </c>
      <c r="B472" s="19" t="s">
        <v>79</v>
      </c>
      <c r="C472" s="19" t="s">
        <v>312</v>
      </c>
      <c r="D472" s="25">
        <v>5</v>
      </c>
      <c r="E472" s="26">
        <v>4517.85</v>
      </c>
      <c r="F472" s="19" t="s">
        <v>528</v>
      </c>
      <c r="G472" s="19" t="s"/>
    </row>
    <row r="473" spans="1:7">
      <c r="A473" s="19" t="s">
        <v>318</v>
      </c>
      <c r="B473" s="19" t="s">
        <v>126</v>
      </c>
      <c r="C473" s="19" t="s">
        <v>161</v>
      </c>
      <c r="D473" s="25">
        <v>2</v>
      </c>
      <c r="E473" s="26">
        <v>2119.04</v>
      </c>
      <c r="F473" s="19" t="s">
        <v>664</v>
      </c>
      <c r="G473" s="19" t="s"/>
    </row>
    <row r="474" spans="1:7">
      <c r="A474" s="19" t="s">
        <v>351</v>
      </c>
      <c r="B474" s="19" t="s">
        <v>110</v>
      </c>
      <c r="C474" s="19" t="s">
        <v>310</v>
      </c>
      <c r="D474" s="25">
        <v>3</v>
      </c>
      <c r="E474" s="26">
        <v>3178.56</v>
      </c>
      <c r="F474" s="19" t="s">
        <v>664</v>
      </c>
      <c r="G474" s="19" t="s"/>
    </row>
    <row r="475" spans="1:7">
      <c r="A475" s="19" t="s">
        <v>791</v>
      </c>
      <c r="B475" s="19" t="s">
        <v>114</v>
      </c>
      <c r="C475" s="19" t="s">
        <v>310</v>
      </c>
      <c r="D475" s="25">
        <v>1.5</v>
      </c>
      <c r="E475" s="26">
        <v>1589.28</v>
      </c>
      <c r="F475" s="19" t="s">
        <v>686</v>
      </c>
      <c r="G475" s="19" t="s"/>
    </row>
    <row r="476" spans="1:7">
      <c r="A476" s="19" t="s">
        <v>80</v>
      </c>
      <c r="B476" s="19" t="s">
        <v>79</v>
      </c>
      <c r="C476" s="19" t="s">
        <v>312</v>
      </c>
      <c r="D476" s="25">
        <v>2.5</v>
      </c>
      <c r="E476" s="26">
        <v>2648.8</v>
      </c>
      <c r="F476" s="19" t="s">
        <v>686</v>
      </c>
      <c r="G476" s="19" t="s"/>
    </row>
    <row r="477" spans="1:7">
      <c r="A477" s="19" t="s">
        <v>307</v>
      </c>
      <c r="B477" s="19" t="s">
        <v>96</v>
      </c>
      <c r="C477" s="19" t="s">
        <v>297</v>
      </c>
      <c r="D477" s="25">
        <v>5</v>
      </c>
      <c r="E477" s="26">
        <v>2726.2</v>
      </c>
      <c r="F477" s="19" t="s">
        <v>702</v>
      </c>
      <c r="G477" s="19" t="s"/>
    </row>
    <row r="478" spans="1:7">
      <c r="A478" s="19" t="s">
        <v>318</v>
      </c>
      <c r="B478" s="19" t="s">
        <v>126</v>
      </c>
      <c r="C478" s="19" t="s">
        <v>161</v>
      </c>
      <c r="D478" s="25">
        <v>4</v>
      </c>
      <c r="E478" s="26">
        <v>2180.96</v>
      </c>
      <c r="F478" s="19" t="s">
        <v>442</v>
      </c>
      <c r="G478" s="19" t="s"/>
    </row>
    <row r="479" spans="1:7">
      <c r="A479" s="19" t="s">
        <v>95</v>
      </c>
      <c r="B479" s="19" t="s">
        <v>94</v>
      </c>
      <c r="C479" s="19" t="s">
        <v>310</v>
      </c>
      <c r="D479" s="25">
        <v>1</v>
      </c>
      <c r="E479" s="26">
        <v>545.24</v>
      </c>
      <c r="F479" s="19" t="s">
        <v>442</v>
      </c>
      <c r="G479" s="19" t="s"/>
    </row>
    <row r="480" spans="1:7">
      <c r="A480" s="19" t="s">
        <v>309</v>
      </c>
      <c r="B480" s="19" t="s">
        <v>118</v>
      </c>
      <c r="C480" s="19" t="s">
        <v>310</v>
      </c>
      <c r="D480" s="25">
        <v>1</v>
      </c>
      <c r="E480" s="26">
        <v>903.57</v>
      </c>
      <c r="F480" s="19" t="s">
        <v>154</v>
      </c>
      <c r="G480" s="19" t="s"/>
    </row>
    <row r="481" spans="1:7">
      <c r="A481" s="19" t="s">
        <v>80</v>
      </c>
      <c r="B481" s="19" t="s">
        <v>79</v>
      </c>
      <c r="C481" s="19" t="s">
        <v>312</v>
      </c>
      <c r="D481" s="25">
        <v>3</v>
      </c>
      <c r="E481" s="26">
        <v>2710.71</v>
      </c>
      <c r="F481" s="19" t="s">
        <v>154</v>
      </c>
      <c r="G481" s="19" t="s"/>
    </row>
    <row r="482" spans="1:7">
      <c r="A482" s="19" t="s">
        <v>720</v>
      </c>
      <c r="B482" s="19" t="s">
        <v>132</v>
      </c>
      <c r="C482" s="19" t="s">
        <v>297</v>
      </c>
      <c r="D482" s="25">
        <v>4.5</v>
      </c>
      <c r="E482" s="26">
        <v>4767.84</v>
      </c>
      <c r="F482" s="19" t="s">
        <v>578</v>
      </c>
      <c r="G482" s="19" t="s"/>
    </row>
    <row r="483" spans="1:7">
      <c r="A483" s="19" t="s">
        <v>107</v>
      </c>
      <c r="B483" s="19" t="s">
        <v>106</v>
      </c>
      <c r="C483" s="19" t="s">
        <v>310</v>
      </c>
      <c r="D483" s="25">
        <v>0.5</v>
      </c>
      <c r="E483" s="26">
        <v>408.24</v>
      </c>
      <c r="F483" s="19" t="s">
        <v>562</v>
      </c>
      <c r="G483" s="19" t="s"/>
    </row>
    <row r="484" spans="1:7">
      <c r="A484" s="19" t="s">
        <v>360</v>
      </c>
      <c r="B484" s="19" t="s">
        <v>116</v>
      </c>
      <c r="C484" s="19" t="s">
        <v>338</v>
      </c>
      <c r="D484" s="25">
        <v>1</v>
      </c>
      <c r="E484" s="26">
        <v>816.47</v>
      </c>
      <c r="F484" s="19" t="s">
        <v>562</v>
      </c>
      <c r="G484" s="19" t="s"/>
    </row>
    <row r="485" spans="1:7">
      <c r="A485" s="19" t="s">
        <v>80</v>
      </c>
      <c r="B485" s="19" t="s">
        <v>79</v>
      </c>
      <c r="C485" s="19" t="s">
        <v>312</v>
      </c>
      <c r="D485" s="25">
        <v>3</v>
      </c>
      <c r="E485" s="26">
        <v>2449.41</v>
      </c>
      <c r="F485" s="19" t="s">
        <v>562</v>
      </c>
      <c r="G485" s="19" t="s"/>
    </row>
    <row r="486" spans="1:7">
      <c r="A486" s="19" t="s">
        <v>720</v>
      </c>
      <c r="B486" s="19" t="s">
        <v>132</v>
      </c>
      <c r="C486" s="19" t="s">
        <v>297</v>
      </c>
      <c r="D486" s="25">
        <v>1</v>
      </c>
      <c r="E486" s="26">
        <v>816.47</v>
      </c>
      <c r="F486" s="19" t="s">
        <v>648</v>
      </c>
      <c r="G486" s="19" t="s"/>
    </row>
    <row r="487" spans="1:7">
      <c r="A487" s="19" t="s">
        <v>340</v>
      </c>
      <c r="B487" s="19" t="s">
        <v>98</v>
      </c>
      <c r="C487" s="19" t="s">
        <v>338</v>
      </c>
      <c r="D487" s="25">
        <v>1</v>
      </c>
      <c r="E487" s="26">
        <v>816.47</v>
      </c>
      <c r="F487" s="19" t="s">
        <v>648</v>
      </c>
      <c r="G487" s="19" t="s"/>
    </row>
    <row r="488" spans="1:7">
      <c r="A488" s="19" t="s">
        <v>105</v>
      </c>
      <c r="B488" s="19" t="s">
        <v>104</v>
      </c>
      <c r="C488" s="19" t="s">
        <v>310</v>
      </c>
      <c r="D488" s="25">
        <v>3</v>
      </c>
      <c r="E488" s="26">
        <v>2449.41</v>
      </c>
      <c r="F488" s="19" t="s">
        <v>648</v>
      </c>
      <c r="G488" s="19" t="s"/>
    </row>
    <row r="489" spans="1:7">
      <c r="A489" s="19" t="s">
        <v>80</v>
      </c>
      <c r="B489" s="19" t="s">
        <v>79</v>
      </c>
      <c r="C489" s="19" t="s">
        <v>312</v>
      </c>
      <c r="D489" s="25">
        <v>0.5</v>
      </c>
      <c r="E489" s="26">
        <v>272.62</v>
      </c>
      <c r="F489" s="19" t="s">
        <v>651</v>
      </c>
      <c r="G489" s="19" t="s"/>
    </row>
    <row r="490" spans="1:7">
      <c r="A490" s="19" t="s">
        <v>105</v>
      </c>
      <c r="B490" s="19" t="s">
        <v>104</v>
      </c>
      <c r="C490" s="19" t="s">
        <v>310</v>
      </c>
      <c r="D490" s="25">
        <v>1.5</v>
      </c>
      <c r="E490" s="26">
        <v>817.86</v>
      </c>
      <c r="F490" s="19" t="s">
        <v>651</v>
      </c>
      <c r="G490" s="19" t="s"/>
    </row>
    <row r="491" spans="1:7">
      <c r="A491" s="19" t="s">
        <v>351</v>
      </c>
      <c r="B491" s="19" t="s">
        <v>110</v>
      </c>
      <c r="C491" s="19" t="s">
        <v>310</v>
      </c>
      <c r="D491" s="25">
        <v>4</v>
      </c>
      <c r="E491" s="26">
        <v>2558.72</v>
      </c>
      <c r="F491" s="19" t="s">
        <v>655</v>
      </c>
      <c r="G491" s="19" t="s"/>
    </row>
    <row r="492" spans="1:7">
      <c r="A492" s="19" t="s">
        <v>309</v>
      </c>
      <c r="B492" s="19" t="s">
        <v>118</v>
      </c>
      <c r="C492" s="19" t="s">
        <v>310</v>
      </c>
      <c r="D492" s="25">
        <v>1.3</v>
      </c>
      <c r="E492" s="26">
        <v>1174.64</v>
      </c>
      <c r="F492" s="19" t="s">
        <v>297</v>
      </c>
      <c r="G492" s="19" t="s"/>
    </row>
    <row r="493" spans="1:7">
      <c r="A493" s="19" t="s">
        <v>86</v>
      </c>
      <c r="B493" s="19" t="s">
        <v>85</v>
      </c>
      <c r="C493" s="19" t="s">
        <v>297</v>
      </c>
      <c r="D493" s="25">
        <v>1.5</v>
      </c>
      <c r="E493" s="26">
        <v>1355.36</v>
      </c>
      <c r="F493" s="19" t="s">
        <v>297</v>
      </c>
      <c r="G493" s="19" t="s"/>
    </row>
    <row r="494" spans="1:7">
      <c r="A494" s="19" t="s">
        <v>489</v>
      </c>
      <c r="B494" s="19" t="s">
        <v>128</v>
      </c>
      <c r="C494" s="19" t="s">
        <v>297</v>
      </c>
      <c r="D494" s="25">
        <v>0.2</v>
      </c>
      <c r="E494" s="26">
        <v>180.71</v>
      </c>
      <c r="F494" s="19" t="s">
        <v>297</v>
      </c>
      <c r="G494" s="19" t="s"/>
    </row>
    <row r="495" spans="1:7">
      <c r="A495" s="19" t="s">
        <v>305</v>
      </c>
      <c r="B495" s="19" t="s">
        <v>112</v>
      </c>
      <c r="C495" s="19" t="s">
        <v>297</v>
      </c>
      <c r="D495" s="25">
        <v>2</v>
      </c>
      <c r="E495" s="26">
        <v>1807.14</v>
      </c>
      <c r="F495" s="19" t="s">
        <v>297</v>
      </c>
      <c r="G495" s="19" t="s"/>
    </row>
    <row r="496" spans="1:7">
      <c r="A496" s="19" t="s">
        <v>80</v>
      </c>
      <c r="B496" s="19" t="s">
        <v>79</v>
      </c>
      <c r="C496" s="19" t="s">
        <v>312</v>
      </c>
      <c r="D496" s="25">
        <v>3</v>
      </c>
      <c r="E496" s="26">
        <v>1635.72</v>
      </c>
      <c r="F496" s="19" t="s">
        <v>211</v>
      </c>
      <c r="G496" s="19" t="s"/>
    </row>
    <row r="497" spans="1:7">
      <c r="A497" s="19" t="s">
        <v>107</v>
      </c>
      <c r="B497" s="19" t="s">
        <v>106</v>
      </c>
      <c r="C497" s="19" t="s">
        <v>310</v>
      </c>
      <c r="D497" s="25">
        <v>5</v>
      </c>
      <c r="E497" s="26">
        <v>2726.2</v>
      </c>
      <c r="F497" s="19" t="s">
        <v>310</v>
      </c>
      <c r="G497" s="19" t="s"/>
    </row>
    <row r="498" spans="1:7">
      <c r="A498" s="19" t="s">
        <v>80</v>
      </c>
      <c r="B498" s="19" t="s">
        <v>79</v>
      </c>
      <c r="C498" s="19" t="s">
        <v>312</v>
      </c>
      <c r="D498" s="25">
        <v>0.5</v>
      </c>
      <c r="E498" s="26">
        <v>748.02</v>
      </c>
      <c r="F498" s="19" t="s">
        <v>158</v>
      </c>
      <c r="G498" s="19" t="s"/>
    </row>
    <row r="499" spans="1:7">
      <c r="A499" s="19" t="s">
        <v>91</v>
      </c>
      <c r="B499" s="19" t="s">
        <v>90</v>
      </c>
      <c r="C499" s="19" t="s">
        <v>338</v>
      </c>
      <c r="D499" s="25">
        <v>2.5</v>
      </c>
      <c r="E499" s="26">
        <v>2388.9</v>
      </c>
      <c r="F499" s="19" t="s">
        <v>216</v>
      </c>
      <c r="G499" s="19" t="s"/>
    </row>
    <row r="500" spans="1:7">
      <c r="A500" s="19" t="s">
        <v>109</v>
      </c>
      <c r="B500" s="19" t="s">
        <v>108</v>
      </c>
      <c r="C500" s="19" t="s">
        <v>161</v>
      </c>
      <c r="D500" s="25">
        <v>0.8</v>
      </c>
      <c r="E500" s="26">
        <v>970.79</v>
      </c>
      <c r="F500" s="19" t="s">
        <v>161</v>
      </c>
      <c r="G500" s="19" t="s"/>
    </row>
    <row r="501" spans="1:7">
      <c r="A501" s="19" t="s">
        <v>80</v>
      </c>
      <c r="B501" s="19" t="s">
        <v>79</v>
      </c>
      <c r="C501" s="19" t="s">
        <v>312</v>
      </c>
      <c r="D501" s="25">
        <v>0.2</v>
      </c>
      <c r="E501" s="26">
        <v>242.7</v>
      </c>
      <c r="F501" s="19" t="s">
        <v>161</v>
      </c>
      <c r="G501" s="19" t="s"/>
    </row>
    <row r="502" spans="1:7">
      <c r="A502" s="19" t="s">
        <v>80</v>
      </c>
      <c r="B502" s="19" t="s">
        <v>79</v>
      </c>
      <c r="C502" s="19" t="s">
        <v>312</v>
      </c>
      <c r="D502" s="25">
        <v>2.5</v>
      </c>
      <c r="E502" s="26">
        <v>2388.9</v>
      </c>
      <c r="F502" s="19" t="s">
        <v>205</v>
      </c>
      <c r="G502" s="19" t="s"/>
    </row>
    <row r="503" spans="1:7">
      <c r="A503" s="19" t="s">
        <v>360</v>
      </c>
      <c r="B503" s="19" t="s">
        <v>116</v>
      </c>
      <c r="C503" s="19" t="s">
        <v>338</v>
      </c>
      <c r="D503" s="25">
        <v>0.5</v>
      </c>
      <c r="E503" s="26">
        <v>477.78</v>
      </c>
      <c r="F503" s="19" t="s">
        <v>205</v>
      </c>
      <c r="G503" s="19" t="s"/>
    </row>
    <row r="504" spans="1:7">
      <c r="A504" s="19" t="s">
        <v>318</v>
      </c>
      <c r="B504" s="19" t="s">
        <v>126</v>
      </c>
      <c r="C504" s="19" t="s">
        <v>161</v>
      </c>
      <c r="D504" s="25">
        <v>2</v>
      </c>
      <c r="E504" s="26">
        <v>1911.12</v>
      </c>
      <c r="F504" s="19" t="s">
        <v>205</v>
      </c>
      <c r="G504" s="19" t="s"/>
    </row>
    <row r="505" spans="1:7">
      <c r="A505" s="19" t="s">
        <v>80</v>
      </c>
      <c r="B505" s="19" t="s">
        <v>79</v>
      </c>
      <c r="C505" s="19" t="s">
        <v>312</v>
      </c>
      <c r="D505" s="25">
        <v>5</v>
      </c>
      <c r="E505" s="26">
        <v>6067.45</v>
      </c>
      <c r="F505" s="19" t="s">
        <v>312</v>
      </c>
      <c r="G505" s="19" t="s"/>
    </row>
    <row r="506" spans="1:7">
      <c r="A506" s="19" t="s">
        <v>340</v>
      </c>
      <c r="B506" s="19" t="s">
        <v>98</v>
      </c>
      <c r="C506" s="19" t="s">
        <v>338</v>
      </c>
      <c r="D506" s="25">
        <v>5</v>
      </c>
      <c r="E506" s="26">
        <v>4517.85</v>
      </c>
      <c r="F506" s="19" t="s">
        <v>338</v>
      </c>
      <c r="G506" s="19" t="s"/>
    </row>
    <row r="507" spans="1:7">
      <c r="A507" s="19" t="s">
        <v>103</v>
      </c>
      <c r="B507" s="19" t="s">
        <v>102</v>
      </c>
      <c r="C507" s="19" t="s">
        <v>338</v>
      </c>
      <c r="D507" s="25">
        <v>3</v>
      </c>
      <c r="E507" s="26">
        <v>2866.68</v>
      </c>
      <c r="F507" s="19" t="s">
        <v>363</v>
      </c>
      <c r="G507" s="19" t="s"/>
    </row>
    <row r="508" spans="1:7">
      <c r="A508" s="19" t="s">
        <v>80</v>
      </c>
      <c r="B508" s="19" t="s">
        <v>79</v>
      </c>
      <c r="C508" s="19" t="s">
        <v>312</v>
      </c>
      <c r="D508" s="25">
        <v>1</v>
      </c>
      <c r="E508" s="26">
        <v>955.56</v>
      </c>
      <c r="F508" s="19" t="s">
        <v>363</v>
      </c>
      <c r="G508" s="19" t="s"/>
    </row>
    <row r="509" spans="1:7">
      <c r="A509" s="19" t="s">
        <v>360</v>
      </c>
      <c r="B509" s="19" t="s">
        <v>116</v>
      </c>
      <c r="C509" s="19" t="s">
        <v>338</v>
      </c>
      <c r="D509" s="25">
        <v>0.5</v>
      </c>
      <c r="E509" s="26">
        <v>375</v>
      </c>
      <c r="F509" s="19" t="s">
        <v>167</v>
      </c>
      <c r="G509" s="19" t="s"/>
    </row>
    <row r="510" spans="1:7">
      <c r="A510" s="19" t="s">
        <v>80</v>
      </c>
      <c r="B510" s="19" t="s">
        <v>79</v>
      </c>
      <c r="C510" s="19" t="s">
        <v>312</v>
      </c>
      <c r="D510" s="25">
        <v>4</v>
      </c>
      <c r="E510" s="26">
        <v>3000</v>
      </c>
      <c r="F510" s="19" t="s">
        <v>167</v>
      </c>
      <c r="G510" s="19" t="s"/>
    </row>
  </sheetData>
  <mergeCells count="3">
    <mergeCell ref="A2:F2"/>
    <mergeCell ref="A3:F3"/>
    <mergeCell ref="A1:M1"/>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2026-04-12T15:33:14Z</dcterms:created>
  <dcterms:modified xsi:type="dcterms:W3CDTF">2026-04-12T15:33:14Z</dcterms:modified>
</cp:coreProperties>
</file>